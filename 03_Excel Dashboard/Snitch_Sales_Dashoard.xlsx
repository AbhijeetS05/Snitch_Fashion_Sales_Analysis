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96" yWindow="60" windowWidth="22932" windowHeight="9504" activeTab="3"/>
  </bookViews>
  <sheets>
    <sheet name="Snitch_Fashion_Sales_Cleaned" sheetId="1" r:id="rId1"/>
    <sheet name="KPI_Calc" sheetId="4" r:id="rId2"/>
    <sheet name="Pivots" sheetId="6" r:id="rId3"/>
    <sheet name="Dashboard" sheetId="5" r:id="rId4"/>
  </sheets>
  <definedNames>
    <definedName name="_xlnm._FilterDatabase" localSheetId="0" hidden="1">Snitch_Fashion_Sales_Cleaned!$F$1:$F$372</definedName>
  </definedNames>
  <calcPr calcId="124519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B6" i="4"/>
  <c r="B9"/>
  <c r="B12"/>
  <c r="B15"/>
  <c r="B3"/>
</calcChain>
</file>

<file path=xl/sharedStrings.xml><?xml version="1.0" encoding="utf-8"?>
<sst xmlns="http://schemas.openxmlformats.org/spreadsheetml/2006/main" count="2342" uniqueCount="454">
  <si>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</si>
  <si>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</si>
  <si>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</si>
  <si>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</si>
  <si>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</si>
  <si>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</si>
  <si>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</si>
  <si>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</si>
  <si>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</si>
  <si>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</si>
  <si>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</si>
  <si>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Net_Profit_Loss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</si>
  <si>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</si>
  <si>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</si>
  <si>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</si>
  <si>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</si>
  <si>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</si>
  <si>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</si>
  <si>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</si>
  <si>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</si>
  <si>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</si>
  <si>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John Mclean</t>
  </si>
  <si>
    <t>Jeans</t>
  </si>
  <si>
    <t>Boyfriend Jeans</t>
  </si>
  <si>
    <t>Ahmedabad</t>
  </si>
  <si>
    <t>Christine Reed</t>
  </si>
  <si>
    <t>Straight Cut</t>
  </si>
  <si>
    <t>OTHERS</t>
  </si>
  <si>
    <t>Brandi Jones</t>
  </si>
  <si>
    <t>Dresses</t>
  </si>
  <si>
    <t>Maxi Dress</t>
  </si>
  <si>
    <t>Hyderabad</t>
  </si>
  <si>
    <t>B2C</t>
  </si>
  <si>
    <t>Connie Cunningham</t>
  </si>
  <si>
    <t>T-Shirts</t>
  </si>
  <si>
    <t>Graphic Tee</t>
  </si>
  <si>
    <t>Courtney Riddle</t>
  </si>
  <si>
    <t>Crop Top</t>
  </si>
  <si>
    <t>Matthew Schmidt</t>
  </si>
  <si>
    <t>Slim Fit Jeans</t>
  </si>
  <si>
    <t>Pune</t>
  </si>
  <si>
    <t>Joshua Figueroa</t>
  </si>
  <si>
    <t>Slip-ons</t>
  </si>
  <si>
    <t>Delhi</t>
  </si>
  <si>
    <t>Heather Arnold</t>
  </si>
  <si>
    <t>Daniel Brown</t>
  </si>
  <si>
    <t>Boots</t>
  </si>
  <si>
    <t>Brandon Webb</t>
  </si>
  <si>
    <t>Bodycon</t>
  </si>
  <si>
    <t>Andrew Moreno</t>
  </si>
  <si>
    <t>Robert Williams</t>
  </si>
  <si>
    <t>Michael Clarke</t>
  </si>
  <si>
    <t>Accessories</t>
  </si>
  <si>
    <t>Caps</t>
  </si>
  <si>
    <t>Rhonda Ray</t>
  </si>
  <si>
    <t>Miranda Thomas</t>
  </si>
  <si>
    <t>Ronald Ballard</t>
  </si>
  <si>
    <t>Sneakers</t>
  </si>
  <si>
    <t>Daniel Alvarez</t>
  </si>
  <si>
    <t>Jorge Anderson</t>
  </si>
  <si>
    <t>Joseph Allen</t>
  </si>
  <si>
    <t>Julia Evans</t>
  </si>
  <si>
    <t>Belts</t>
  </si>
  <si>
    <t>Dean Allen</t>
  </si>
  <si>
    <t>Ripped Denim</t>
  </si>
  <si>
    <t>Diane Davis</t>
  </si>
  <si>
    <t>Tiffany Flores</t>
  </si>
  <si>
    <t>Leather Jacket</t>
  </si>
  <si>
    <t>Sherry Ward</t>
  </si>
  <si>
    <t>Watches</t>
  </si>
  <si>
    <t>Maria Morrow</t>
  </si>
  <si>
    <t>Jacqueline Erickson</t>
  </si>
  <si>
    <t>Sunglasses</t>
  </si>
  <si>
    <t>Crystal Hayes MD</t>
  </si>
  <si>
    <t>Bomber Jacket</t>
  </si>
  <si>
    <t>Bradley Quinn</t>
  </si>
  <si>
    <t>Alicia Hernandez</t>
  </si>
  <si>
    <t>Jamie Alexander</t>
  </si>
  <si>
    <t>Wrap Dress</t>
  </si>
  <si>
    <t>Sierra Miller</t>
  </si>
  <si>
    <t>Karina Davis</t>
  </si>
  <si>
    <t>Caroline Thomas</t>
  </si>
  <si>
    <t>Hailey Sullivan</t>
  </si>
  <si>
    <t>Casual Midi</t>
  </si>
  <si>
    <t>Brandy Clark</t>
  </si>
  <si>
    <t>Classic Tee</t>
  </si>
  <si>
    <t>Kim Campos</t>
  </si>
  <si>
    <t>Shane Gomez</t>
  </si>
  <si>
    <t>Tyler Haney</t>
  </si>
  <si>
    <t>Sarah Andrews</t>
  </si>
  <si>
    <t>Kelly Wong</t>
  </si>
  <si>
    <t>Michael Coleman</t>
  </si>
  <si>
    <t>Lori Orozco</t>
  </si>
  <si>
    <t>John Levine</t>
  </si>
  <si>
    <t>Denim Jacket</t>
  </si>
  <si>
    <t>Amber Lee</t>
  </si>
  <si>
    <t>Michael Joseph</t>
  </si>
  <si>
    <t>Mark Gonzales</t>
  </si>
  <si>
    <t>Christine Drake</t>
  </si>
  <si>
    <t>Eric Medina</t>
  </si>
  <si>
    <t>Russell Douglas</t>
  </si>
  <si>
    <t>Ryan James</t>
  </si>
  <si>
    <t>Krista Wright</t>
  </si>
  <si>
    <t>Megan Smith</t>
  </si>
  <si>
    <t>Rachel Bradford</t>
  </si>
  <si>
    <t>Barbara Jones</t>
  </si>
  <si>
    <t>Eric Williams</t>
  </si>
  <si>
    <t>William Peck</t>
  </si>
  <si>
    <t>Tammy Johnson</t>
  </si>
  <si>
    <t>Nancy James</t>
  </si>
  <si>
    <t>Oversized T-shirt</t>
  </si>
  <si>
    <t>Judith Johnson</t>
  </si>
  <si>
    <t>Nancy Taylor</t>
  </si>
  <si>
    <t>Laura Myers</t>
  </si>
  <si>
    <t>Tiffany Calhoun</t>
  </si>
  <si>
    <t>Linda Allen</t>
  </si>
  <si>
    <t>James Matthews</t>
  </si>
  <si>
    <t>Lauren Bailey</t>
  </si>
  <si>
    <t>Jennifer Alvarado</t>
  </si>
  <si>
    <t>David Morales</t>
  </si>
  <si>
    <t>Rachel Rios</t>
  </si>
  <si>
    <t>William Aguilar</t>
  </si>
  <si>
    <t>Rick Moran</t>
  </si>
  <si>
    <t>David Noble</t>
  </si>
  <si>
    <t>Tina Keith</t>
  </si>
  <si>
    <t>Mark Campbell</t>
  </si>
  <si>
    <t>Linda Ross</t>
  </si>
  <si>
    <t>Lindsay Sanchez</t>
  </si>
  <si>
    <t>Stephanie Ferguson</t>
  </si>
  <si>
    <t>Anna Valdez</t>
  </si>
  <si>
    <t>Joel Fitzpatrick</t>
  </si>
  <si>
    <t>Scott Webb</t>
  </si>
  <si>
    <t>Heather Gordon</t>
  </si>
  <si>
    <t>Gary Simon</t>
  </si>
  <si>
    <t>Brian Floyd</t>
  </si>
  <si>
    <t>Anthony Kent</t>
  </si>
  <si>
    <t>Michael Keller</t>
  </si>
  <si>
    <t>Justin Rose</t>
  </si>
  <si>
    <t>Mark Silva</t>
  </si>
  <si>
    <t>Mary Tran</t>
  </si>
  <si>
    <t>Kathryn Hardy</t>
  </si>
  <si>
    <t>Sandra Peterson</t>
  </si>
  <si>
    <t>Linda Long</t>
  </si>
  <si>
    <t>Cynthia Conway</t>
  </si>
  <si>
    <t>Jerry Carroll</t>
  </si>
  <si>
    <t>Ricardo Moran</t>
  </si>
  <si>
    <t>Marie Nelson</t>
  </si>
  <si>
    <t>Christina Meyers</t>
  </si>
  <si>
    <t>Lisa Vang</t>
  </si>
  <si>
    <t>Dylan Armstrong</t>
  </si>
  <si>
    <t>Jonathan Schmidt</t>
  </si>
  <si>
    <t>Paige Lee</t>
  </si>
  <si>
    <t>Mary Kline</t>
  </si>
  <si>
    <t>Selena Baker</t>
  </si>
  <si>
    <t>Brent Rios</t>
  </si>
  <si>
    <t>Jennifer Dominguez</t>
  </si>
  <si>
    <t>Dustin Blackburn</t>
  </si>
  <si>
    <t>Lisa Moss</t>
  </si>
  <si>
    <t>Patrick Chen</t>
  </si>
  <si>
    <t>Sandra Jensen</t>
  </si>
  <si>
    <t>Ruth Bennett</t>
  </si>
  <si>
    <t>Robert Hunter DDS</t>
  </si>
  <si>
    <t>Brandi Stone</t>
  </si>
  <si>
    <t>Matthew Barajas</t>
  </si>
  <si>
    <t>Jeffery Hoover</t>
  </si>
  <si>
    <t>Gregory Palmer</t>
  </si>
  <si>
    <t>April Delgado</t>
  </si>
  <si>
    <t>Maria Krueger</t>
  </si>
  <si>
    <t>Angela Lopez</t>
  </si>
  <si>
    <t>Danielle Love</t>
  </si>
  <si>
    <t>John Bailey</t>
  </si>
  <si>
    <t>Ashley Malone</t>
  </si>
  <si>
    <t>Ms. Brianna Jones</t>
  </si>
  <si>
    <t>Joseph Hall</t>
  </si>
  <si>
    <t>Lisa Smith</t>
  </si>
  <si>
    <t>Paul Garrison</t>
  </si>
  <si>
    <t>Priscilla Williams</t>
  </si>
  <si>
    <t>Cory Chambers</t>
  </si>
  <si>
    <t>Ann Melton</t>
  </si>
  <si>
    <t>Dylan Roth</t>
  </si>
  <si>
    <t>Melanie Phillips</t>
  </si>
  <si>
    <t>Nicholas Evans</t>
  </si>
  <si>
    <t>Patricia Brooks</t>
  </si>
  <si>
    <t>Maurice Reynolds</t>
  </si>
  <si>
    <t>Tonya Kirby</t>
  </si>
  <si>
    <t>Meredith Murphy</t>
  </si>
  <si>
    <t>Christopher Burgess</t>
  </si>
  <si>
    <t>Bruce Brown</t>
  </si>
  <si>
    <t>Rodney Lee</t>
  </si>
  <si>
    <t>Connie Wilson</t>
  </si>
  <si>
    <t>Michelle Walsh</t>
  </si>
  <si>
    <t>Tim Dean</t>
  </si>
  <si>
    <t>Anna Rogers</t>
  </si>
  <si>
    <t>Miss Angela Webb</t>
  </si>
  <si>
    <t>Sean Smith</t>
  </si>
  <si>
    <t>Janet Murray MD</t>
  </si>
  <si>
    <t>Thomas Shepard</t>
  </si>
  <si>
    <t>Mary Hill</t>
  </si>
  <si>
    <t>Danny Ayers</t>
  </si>
  <si>
    <t>Manuel Carter</t>
  </si>
  <si>
    <t>Thomas Howard</t>
  </si>
  <si>
    <t>Christopher Ortiz</t>
  </si>
  <si>
    <t>Casey Mathews</t>
  </si>
  <si>
    <t>Heidi Ward</t>
  </si>
  <si>
    <t>Susan Davis</t>
  </si>
  <si>
    <t>Matthew Gibson</t>
  </si>
  <si>
    <t>Laura Anderson</t>
  </si>
  <si>
    <t>Todd Edwards</t>
  </si>
  <si>
    <t>Vanessa Hale</t>
  </si>
  <si>
    <t>Larry Kent</t>
  </si>
  <si>
    <t>Amanda Jones</t>
  </si>
  <si>
    <t>Robert Fletcher</t>
  </si>
  <si>
    <t>Eric Armstrong</t>
  </si>
  <si>
    <t>John Carroll Jr.</t>
  </si>
  <si>
    <t>Christopher Taylor</t>
  </si>
  <si>
    <t>John Sanchez</t>
  </si>
  <si>
    <t>Andrea Jones</t>
  </si>
  <si>
    <t>Frank Garcia MD</t>
  </si>
  <si>
    <t>Amy Parker</t>
  </si>
  <si>
    <t>Brandon Mccormick</t>
  </si>
  <si>
    <t>Brenda Graham</t>
  </si>
  <si>
    <t>Jacob Morris</t>
  </si>
  <si>
    <t>Kristen Gutierrez</t>
  </si>
  <si>
    <t>Emily Chambers</t>
  </si>
  <si>
    <t>Jacob Curry</t>
  </si>
  <si>
    <t>Michelle Anderson</t>
  </si>
  <si>
    <t>Courtney Wright</t>
  </si>
  <si>
    <t>Regina Rodriguez</t>
  </si>
  <si>
    <t>Lisa Ford</t>
  </si>
  <si>
    <t>Robert Cline</t>
  </si>
  <si>
    <t>Alexander Costa Jr.</t>
  </si>
  <si>
    <t>Debra Wilcox</t>
  </si>
  <si>
    <t>Marcus Harris</t>
  </si>
  <si>
    <t>Andrew Trevino</t>
  </si>
  <si>
    <t>Lauren Cook</t>
  </si>
  <si>
    <t>Julian Nielsen</t>
  </si>
  <si>
    <t>Johnny Doyle</t>
  </si>
  <si>
    <t>Thomas Murillo</t>
  </si>
  <si>
    <t>Martin Lynch</t>
  </si>
  <si>
    <t>Laura Perez</t>
  </si>
  <si>
    <t>Mark Henderson</t>
  </si>
  <si>
    <t>Theresa Stone</t>
  </si>
  <si>
    <t>Shawn Martinez</t>
  </si>
  <si>
    <t>April Ward</t>
  </si>
  <si>
    <t>Raymond Floyd</t>
  </si>
  <si>
    <t>Heather Walsh</t>
  </si>
  <si>
    <t>Gregory Kennedy</t>
  </si>
  <si>
    <t>Robert Nelson</t>
  </si>
  <si>
    <t>Susan Gonzalez</t>
  </si>
  <si>
    <t>Christopher Hawkins</t>
  </si>
  <si>
    <t>Victoria Greene</t>
  </si>
  <si>
    <t>Catherine Young</t>
  </si>
  <si>
    <t>Kara Waller</t>
  </si>
  <si>
    <t>Aaron Molina</t>
  </si>
  <si>
    <t>Javier Sloan</t>
  </si>
  <si>
    <t>Charles Ray</t>
  </si>
  <si>
    <t>David Mitchell</t>
  </si>
  <si>
    <t>Daniel Greer</t>
  </si>
  <si>
    <t>Eric Hoffman</t>
  </si>
  <si>
    <t>Adrienne Anderson MD</t>
  </si>
  <si>
    <t>David Snyder</t>
  </si>
  <si>
    <t>Amy Frederick</t>
  </si>
  <si>
    <t>Kayla Peters</t>
  </si>
  <si>
    <t>Rebekah Parker</t>
  </si>
  <si>
    <t>Ashley Harrison</t>
  </si>
  <si>
    <t>James Day</t>
  </si>
  <si>
    <t>Sean Tran</t>
  </si>
  <si>
    <t>Melissa Clark</t>
  </si>
  <si>
    <t>Erin Cook</t>
  </si>
  <si>
    <t>Ronald Cohen</t>
  </si>
  <si>
    <t>Elizabeth Rice</t>
  </si>
  <si>
    <t>Jon Hernandez</t>
  </si>
  <si>
    <t>David Alvarez</t>
  </si>
  <si>
    <t>John Perry</t>
  </si>
  <si>
    <t>Cindy Zamora</t>
  </si>
  <si>
    <t>Darren Bailey</t>
  </si>
  <si>
    <t>Wanda Medina</t>
  </si>
  <si>
    <t>Heather Taylor</t>
  </si>
  <si>
    <t>Jeff Dorsey</t>
  </si>
  <si>
    <t>Ashley Martin</t>
  </si>
  <si>
    <t>Selena Johnson</t>
  </si>
  <si>
    <t>Russell King</t>
  </si>
  <si>
    <t>Ricky Nelson</t>
  </si>
  <si>
    <t>Kevin Allison</t>
  </si>
  <si>
    <t>Traci Jennings</t>
  </si>
  <si>
    <t>Colin Osborne</t>
  </si>
  <si>
    <t>Anthony Love</t>
  </si>
  <si>
    <t>Raymond Mcdonald</t>
  </si>
  <si>
    <t>Tamara Hopkins</t>
  </si>
  <si>
    <t>Julie Grant</t>
  </si>
  <si>
    <t>James Thompson</t>
  </si>
  <si>
    <t>Brian Young</t>
  </si>
  <si>
    <t>Kristie Williams</t>
  </si>
  <si>
    <t>Angela Wiggins</t>
  </si>
  <si>
    <t>Diana Buchanan</t>
  </si>
  <si>
    <t>Amanda Wolf</t>
  </si>
  <si>
    <t>James Soto</t>
  </si>
  <si>
    <t>Amy Riley</t>
  </si>
  <si>
    <t>Sharon Reed</t>
  </si>
  <si>
    <t>Richard Lopez</t>
  </si>
  <si>
    <t>Andrew Sharp</t>
  </si>
  <si>
    <t>Melissa Flowers</t>
  </si>
  <si>
    <t>Joshua Warren</t>
  </si>
  <si>
    <t>Jeff Holland</t>
  </si>
  <si>
    <t>Jennifer Vargas</t>
  </si>
  <si>
    <t>Kendra James MD</t>
  </si>
  <si>
    <t>Crystal Campbell</t>
  </si>
  <si>
    <t>Benjamin Hicks</t>
  </si>
  <si>
    <t>Lawrence Turner</t>
  </si>
  <si>
    <t>David Hawkins</t>
  </si>
  <si>
    <t>Brianna Little</t>
  </si>
  <si>
    <t>Robert Gray</t>
  </si>
  <si>
    <t>Rebekah Wolf</t>
  </si>
  <si>
    <t>Laura Hernandez</t>
  </si>
  <si>
    <t>Stephanie Jensen</t>
  </si>
  <si>
    <t>Gerald Snow</t>
  </si>
  <si>
    <t>Angela Miller</t>
  </si>
  <si>
    <t>Scott Kent</t>
  </si>
  <si>
    <t>Kaylee Wilkins</t>
  </si>
  <si>
    <t>Benjamin Boyd</t>
  </si>
  <si>
    <t>Julie Jones</t>
  </si>
  <si>
    <t>Stephanie Johnson</t>
  </si>
  <si>
    <t>Matthew Bates</t>
  </si>
  <si>
    <t>Patricia Mcbride</t>
  </si>
  <si>
    <t>Timothy Brown</t>
  </si>
  <si>
    <t>Cynthia Johnson</t>
  </si>
  <si>
    <t>Julie Anthony</t>
  </si>
  <si>
    <t>Felicia Saunders</t>
  </si>
  <si>
    <t>Mallory Lee DVM</t>
  </si>
  <si>
    <t>Erin Martin</t>
  </si>
  <si>
    <t>Jennifer Leblanc</t>
  </si>
  <si>
    <t>Wesley Jackson</t>
  </si>
  <si>
    <t>Laura Robertson</t>
  </si>
  <si>
    <t>Kevin Skinner</t>
  </si>
  <si>
    <t>Karen Houston</t>
  </si>
  <si>
    <t>Lisa James</t>
  </si>
  <si>
    <t>Daniel Reyes</t>
  </si>
  <si>
    <t>Kaitlin Baldwin</t>
  </si>
  <si>
    <t>Andrew Brown</t>
  </si>
  <si>
    <t>David Walker</t>
  </si>
  <si>
    <t>Timothy Peterson</t>
  </si>
  <si>
    <t>Zachary Robinson</t>
  </si>
  <si>
    <t>John Blankenship</t>
  </si>
  <si>
    <t>Daniel Haney</t>
  </si>
  <si>
    <t>Jennifer Simpson</t>
  </si>
  <si>
    <t>Danielle Archer</t>
  </si>
  <si>
    <t>Amy Miller</t>
  </si>
  <si>
    <t>Bailey Keller</t>
  </si>
  <si>
    <t>Alexander Gonzalez</t>
  </si>
  <si>
    <t>Paige Mosley</t>
  </si>
  <si>
    <t>Amanda Mclaughlin</t>
  </si>
  <si>
    <t>Laurie Martinez</t>
  </si>
  <si>
    <t>Misty Higgins</t>
  </si>
  <si>
    <t>Jennifer Hancock</t>
  </si>
  <si>
    <t>Nathaniel Martin Jr.</t>
  </si>
  <si>
    <t>Douglas Cummings</t>
  </si>
  <si>
    <t>Melissa Mcdonald</t>
  </si>
  <si>
    <t>Kyle Salinas</t>
  </si>
  <si>
    <t>Frank Griffin</t>
  </si>
  <si>
    <t>Kenneth Griffith</t>
  </si>
  <si>
    <t>Randy Burke</t>
  </si>
  <si>
    <t>Charles Francis</t>
  </si>
  <si>
    <t>Veronica Goodwin</t>
  </si>
  <si>
    <t>Stephanie Cook</t>
  </si>
  <si>
    <t>Catherine Spencer</t>
  </si>
  <si>
    <t>Dale Davis</t>
  </si>
  <si>
    <t>Brianna Patel</t>
  </si>
  <si>
    <t>Wendy Sandoval</t>
  </si>
  <si>
    <t>Matthew Bryant</t>
  </si>
  <si>
    <t>Denise Ashley</t>
  </si>
  <si>
    <t>Christine Young</t>
  </si>
  <si>
    <t>Robert Rogers</t>
  </si>
  <si>
    <t>Brittany Brown</t>
  </si>
  <si>
    <t>Christopher Martin</t>
  </si>
  <si>
    <t>Elizabeth Deleon</t>
  </si>
  <si>
    <t>Karen Clayton</t>
  </si>
  <si>
    <t>Brittany Sweeney</t>
  </si>
  <si>
    <t>Melissa Davila</t>
  </si>
  <si>
    <t>Elizabeth Smith</t>
  </si>
  <si>
    <t>Mariah Kidd</t>
  </si>
  <si>
    <t>Anita Ramirez</t>
  </si>
  <si>
    <t>George Gonzales</t>
  </si>
  <si>
    <t>William Johnson</t>
  </si>
  <si>
    <t>Tammy Hatfield</t>
  </si>
  <si>
    <t>Sandra Patrick</t>
  </si>
  <si>
    <t>Cathy Zamora</t>
  </si>
  <si>
    <t>Christopher Davis</t>
  </si>
  <si>
    <t>Nathan Maynard</t>
  </si>
  <si>
    <t>Nicholas Cox</t>
  </si>
  <si>
    <t>Gregory Mitchell</t>
  </si>
  <si>
    <t>Christopher Gordon</t>
  </si>
  <si>
    <t>Kristen Alexander</t>
  </si>
  <si>
    <t>Holly Lopez</t>
  </si>
  <si>
    <t>Katrina Pugh</t>
  </si>
  <si>
    <t>Amanda Dixon</t>
  </si>
  <si>
    <t>Sarah Bradley DDS</t>
  </si>
  <si>
    <t>Hector Morris</t>
  </si>
  <si>
    <t>Shawn Campbell</t>
  </si>
  <si>
    <t>Scott Hernandez</t>
  </si>
  <si>
    <t>Adrian Cross</t>
  </si>
  <si>
    <t>Thomas Cole</t>
  </si>
  <si>
    <t>Christopher Stone</t>
  </si>
  <si>
    <t>Calvin Wright</t>
  </si>
  <si>
    <t>Jill Singh</t>
  </si>
  <si>
    <t>Mary Smith</t>
  </si>
  <si>
    <t>Crystal Beasley</t>
  </si>
  <si>
    <t>Justin Melton</t>
  </si>
  <si>
    <t>Connor Meza</t>
  </si>
  <si>
    <t>Mary Johnson</t>
  </si>
  <si>
    <t>Ryan Barker</t>
  </si>
  <si>
    <t>Logan Phillips</t>
  </si>
  <si>
    <t>Sean Hensley</t>
  </si>
  <si>
    <t>Jeremiah Reese</t>
  </si>
  <si>
    <t>Richard Gutierrez</t>
  </si>
  <si>
    <t>Christopher Phillips</t>
  </si>
  <si>
    <t>Charles Kelly</t>
  </si>
  <si>
    <t>Carrie Mclaughlin</t>
  </si>
  <si>
    <t>Roger Blake</t>
  </si>
  <si>
    <t>Amanda Rich</t>
  </si>
  <si>
    <t>Kathryn Swanson</t>
  </si>
  <si>
    <t>Keith Manning</t>
  </si>
  <si>
    <t>Angela Adkins</t>
  </si>
  <si>
    <t>Sum of Sales_Amount</t>
  </si>
  <si>
    <t>Sum of Net_Profit_Loss</t>
  </si>
  <si>
    <t>Total_Units_Sold</t>
  </si>
  <si>
    <t>Total_Sales_Amount</t>
  </si>
  <si>
    <t>Total_Net_Profit_Loss</t>
  </si>
  <si>
    <t>Profit margin</t>
  </si>
  <si>
    <t>Total_Orders</t>
  </si>
  <si>
    <t>Row Labels</t>
  </si>
  <si>
    <t>Grand Total</t>
  </si>
  <si>
    <t>Discount Type</t>
  </si>
  <si>
    <t>No Discount</t>
  </si>
  <si>
    <t>Discounted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</si>
  <si>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</si>
  <si>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</si>
  <si>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</si>
  <si>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</si>
  <si>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</si>
  <si>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</si>
  <si>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</si>
  <si>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</si>
  <si>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</si>
  <si>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</si>
  <si>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</si>
  <si>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</si>
  <si>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</si>
  <si>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2023</t>
  </si>
  <si>
    <t>2025</t>
  </si>
  <si>
    <t>Column Labels</t>
  </si>
  <si>
    <t>Revenue by category</t>
  </si>
  <si>
    <t>Profit by category</t>
  </si>
  <si>
    <t>Discounted vs Notdiscounted</t>
  </si>
  <si>
    <t>CitY</t>
  </si>
</sst>
</file>

<file path=xl/styles.xml><?xml version="1.0" encoding="utf-8"?>
<styleSheet xmlns="http://schemas.openxmlformats.org/spreadsheetml/2006/main">
  <numFmts count="2">
    <numFmt numFmtId="164" formatCode="&quot;₹&quot;\ #,##0.00"/>
    <numFmt numFmtId="165" formatCode="&quot;₹&quot;\ 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Segoe UI Black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2" xfId="0" applyFont="1" applyFill="1" applyBorder="1"/>
    <xf numFmtId="14" fontId="0" fillId="34" borderId="12" xfId="0" applyNumberFormat="1" applyFont="1" applyFill="1" applyBorder="1"/>
    <xf numFmtId="0" fontId="0" fillId="34" borderId="13" xfId="0" applyFont="1" applyFill="1" applyBorder="1"/>
    <xf numFmtId="0" fontId="0" fillId="35" borderId="12" xfId="0" applyFont="1" applyFill="1" applyBorder="1"/>
    <xf numFmtId="14" fontId="0" fillId="35" borderId="12" xfId="0" applyNumberFormat="1" applyFont="1" applyFill="1" applyBorder="1"/>
    <xf numFmtId="0" fontId="0" fillId="35" borderId="13" xfId="0" applyFont="1" applyFill="1" applyBorder="1"/>
    <xf numFmtId="0" fontId="0" fillId="34" borderId="14" xfId="0" applyFont="1" applyFill="1" applyBorder="1"/>
    <xf numFmtId="14" fontId="0" fillId="34" borderId="14" xfId="0" applyNumberFormat="1" applyFont="1" applyFill="1" applyBorder="1"/>
    <xf numFmtId="0" fontId="0" fillId="34" borderId="0" xfId="0" applyFont="1" applyFill="1"/>
    <xf numFmtId="0" fontId="0" fillId="0" borderId="0" xfId="0" pivotButton="1"/>
    <xf numFmtId="0" fontId="0" fillId="0" borderId="0" xfId="0" applyAlignment="1">
      <alignment vertical="center"/>
    </xf>
    <xf numFmtId="10" fontId="0" fillId="0" borderId="0" xfId="42" applyNumberFormat="1" applyFont="1" applyAlignment="1">
      <alignment vertical="center"/>
    </xf>
    <xf numFmtId="164" fontId="0" fillId="0" borderId="0" xfId="0" applyNumberFormat="1"/>
    <xf numFmtId="0" fontId="0" fillId="0" borderId="0" xfId="0" applyAlignment="1">
      <alignment horizontal="left"/>
    </xf>
    <xf numFmtId="0" fontId="0" fillId="34" borderId="12" xfId="0" applyNumberFormat="1" applyFont="1" applyFill="1" applyBorder="1"/>
    <xf numFmtId="0" fontId="0" fillId="34" borderId="14" xfId="0" applyNumberFormat="1" applyFont="1" applyFill="1" applyBorder="1"/>
    <xf numFmtId="14" fontId="0" fillId="0" borderId="0" xfId="0" applyNumberFormat="1" applyAlignment="1">
      <alignment horizontal="left"/>
    </xf>
    <xf numFmtId="0" fontId="0" fillId="0" borderId="0" xfId="0" applyNumberFormat="1"/>
    <xf numFmtId="165" fontId="0" fillId="0" borderId="0" xfId="0" applyNumberFormat="1" applyAlignment="1">
      <alignment vertical="center"/>
    </xf>
    <xf numFmtId="0" fontId="19" fillId="36" borderId="0" xfId="0" applyFont="1" applyFill="1" applyAlignment="1">
      <alignment vertical="center"/>
    </xf>
    <xf numFmtId="0" fontId="18" fillId="36" borderId="0" xfId="0" applyFont="1" applyFill="1"/>
    <xf numFmtId="0" fontId="0" fillId="36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9" defaultPivotStyle="PivotStyleLight16"/>
  <colors>
    <mruColors>
      <color rgb="FFE18383"/>
      <color rgb="FFD75B5B"/>
      <color rgb="FFF078E7"/>
      <color rgb="FF7CF6F6"/>
      <color rgb="FF73FF73"/>
      <color rgb="FF98C0FA"/>
      <color rgb="FF3D012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[Snitch_Fashion_Sales_Cleaned-DASHBORD.xlsx]Pivots!PivotTable2</c:name>
    <c:fmtId val="2"/>
  </c:pivotSource>
  <c:chart>
    <c:title>
      <c:tx>
        <c:rich>
          <a:bodyPr/>
          <a:lstStyle/>
          <a:p>
            <a:pPr>
              <a:defRPr sz="1600"/>
            </a:pPr>
            <a:r>
              <a:rPr lang="en-US" sz="1600">
                <a:latin typeface="Segoe UI Black" pitchFamily="34" charset="0"/>
                <a:ea typeface="Segoe UI Black" pitchFamily="34" charset="0"/>
              </a:rPr>
              <a:t>REVENUE BY CATEGORY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solidFill>
            <a:schemeClr val="tx1"/>
          </a:solidFill>
        </c:spPr>
        <c:marker>
          <c:symbol val="none"/>
        </c:marker>
        <c:dLbl>
          <c:idx val="0"/>
          <c:numFmt formatCode="&quot;₹&quot;\ #,##0.0" sourceLinked="0"/>
          <c:spPr/>
          <c:txPr>
            <a:bodyPr/>
            <a:lstStyle/>
            <a:p>
              <a:pPr>
                <a:defRPr>
                  <a:latin typeface="Segoe UI Black" pitchFamily="34" charset="0"/>
                  <a:ea typeface="Segoe UI Black" pitchFamily="34" charset="0"/>
                </a:defRPr>
              </a:pPr>
              <a:endParaRPr lang="en-US"/>
            </a:p>
          </c:txPr>
          <c:showVal val="1"/>
        </c:dLbl>
      </c:pivotFmt>
      <c:pivotFmt>
        <c:idx val="3"/>
        <c:spPr>
          <a:solidFill>
            <a:schemeClr val="tx1"/>
          </a:solidFill>
        </c:spPr>
        <c:marker>
          <c:symbol val="none"/>
        </c:marker>
        <c:dLbl>
          <c:idx val="0"/>
          <c:numFmt formatCode="&quot;₹&quot;\ #,##0.0" sourceLinked="0"/>
          <c:spPr/>
          <c:txPr>
            <a:bodyPr/>
            <a:lstStyle/>
            <a:p>
              <a:pPr>
                <a:defRPr>
                  <a:latin typeface="Segoe UI Black" pitchFamily="34" charset="0"/>
                  <a:ea typeface="Segoe UI Black" pitchFamily="34" charset="0"/>
                </a:defRPr>
              </a:pPr>
              <a:endParaRPr lang="en-US"/>
            </a:p>
          </c:txPr>
          <c:showVal val="1"/>
        </c:dLbl>
      </c:pivotFmt>
      <c:pivotFmt>
        <c:idx val="4"/>
        <c:spPr>
          <a:solidFill>
            <a:schemeClr val="tx1"/>
          </a:solidFill>
        </c:spPr>
        <c:marker>
          <c:symbol val="none"/>
        </c:marker>
        <c:dLbl>
          <c:idx val="0"/>
          <c:numFmt formatCode="&quot;₹&quot;\ #,##0.0" sourceLinked="0"/>
          <c:spPr/>
          <c:txPr>
            <a:bodyPr/>
            <a:lstStyle/>
            <a:p>
              <a:pPr>
                <a:defRPr>
                  <a:latin typeface="Segoe UI Black" pitchFamily="34" charset="0"/>
                  <a:ea typeface="Segoe UI Black" pitchFamily="34" charset="0"/>
                </a:defRPr>
              </a:pPr>
              <a:endParaRPr lang="en-US"/>
            </a:p>
          </c:txPr>
          <c:showVal val="1"/>
        </c:dLbl>
      </c:pivotFmt>
      <c:pivotFmt>
        <c:idx val="5"/>
        <c:spPr>
          <a:solidFill>
            <a:schemeClr val="tx1"/>
          </a:solidFill>
        </c:spPr>
        <c:marker>
          <c:symbol val="none"/>
        </c:marker>
        <c:dLbl>
          <c:idx val="0"/>
          <c:numFmt formatCode="&quot;₹&quot;\ #,##0.0" sourceLinked="0"/>
          <c:spPr/>
          <c:txPr>
            <a:bodyPr/>
            <a:lstStyle/>
            <a:p>
              <a:pPr>
                <a:defRPr>
                  <a:latin typeface="Segoe UI Black" pitchFamily="34" charset="0"/>
                  <a:ea typeface="Segoe UI Black" pitchFamily="34" charset="0"/>
                </a:defRPr>
              </a:pPr>
              <a:endParaRPr lang="en-US"/>
            </a:p>
          </c:txPr>
          <c:showVal val="1"/>
        </c:dLbl>
      </c:pivotFmt>
      <c:pivotFmt>
        <c:idx val="6"/>
        <c:spPr>
          <a:solidFill>
            <a:schemeClr val="tx1"/>
          </a:solidFill>
        </c:spPr>
        <c:marker>
          <c:symbol val="none"/>
        </c:marker>
        <c:dLbl>
          <c:idx val="0"/>
          <c:layout/>
          <c:numFmt formatCode="[&gt;99999][$₹]###,#\##0.0&quot;L&quot;;\ [$₹]##,##0.0&quot;L&quot;" sourceLinked="0"/>
          <c:spPr/>
          <c:txPr>
            <a:bodyPr rot="0" vert="horz"/>
            <a:lstStyle/>
            <a:p>
              <a:pPr>
                <a:defRPr>
                  <a:latin typeface="Segoe UI Black" pitchFamily="34" charset="0"/>
                  <a:ea typeface="Segoe UI Black" pitchFamily="34" charset="0"/>
                </a:defRPr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Pivots!$C$2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</c:spPr>
          <c:dLbls>
            <c:numFmt formatCode="[&gt;99999][$₹]###,#\##0.0&quot;L&quot;;\ [$₹]##,##0.0&quot;L&quot;" sourceLinked="0"/>
            <c:spPr/>
            <c:txPr>
              <a:bodyPr rot="0" vert="horz"/>
              <a:lstStyle/>
              <a:p>
                <a:pPr>
                  <a:defRPr>
                    <a:latin typeface="Segoe UI Black" pitchFamily="34" charset="0"/>
                    <a:ea typeface="Segoe UI Black" pitchFamily="34" charset="0"/>
                  </a:defRPr>
                </a:pPr>
                <a:endParaRPr lang="en-US"/>
              </a:p>
            </c:txPr>
            <c:showVal val="1"/>
          </c:dLbls>
          <c:cat>
            <c:strRef>
              <c:f>Pivots!$B$3:$B$9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Pivots!$C$3:$C$9</c:f>
              <c:numCache>
                <c:formatCode>"₹"\ #,##0.00</c:formatCode>
                <c:ptCount val="6"/>
                <c:pt idx="0">
                  <c:v>511132.04</c:v>
                </c:pt>
                <c:pt idx="1">
                  <c:v>493037.54999999993</c:v>
                </c:pt>
                <c:pt idx="2">
                  <c:v>337507.49999999994</c:v>
                </c:pt>
                <c:pt idx="3">
                  <c:v>400143.71000000014</c:v>
                </c:pt>
                <c:pt idx="4">
                  <c:v>454266.96999999991</c:v>
                </c:pt>
                <c:pt idx="5">
                  <c:v>379441.48999999993</c:v>
                </c:pt>
              </c:numCache>
            </c:numRef>
          </c:val>
        </c:ser>
        <c:dLbls>
          <c:showVal val="1"/>
        </c:dLbls>
        <c:axId val="122886784"/>
        <c:axId val="122888576"/>
      </c:barChart>
      <c:catAx>
        <c:axId val="122886784"/>
        <c:scaling>
          <c:orientation val="minMax"/>
        </c:scaling>
        <c:axPos val="b"/>
        <c:tickLblPos val="nextTo"/>
        <c:txPr>
          <a:bodyPr rot="0" vert="horz" anchor="ctr" anchorCtr="0"/>
          <a:lstStyle/>
          <a:p>
            <a:pPr>
              <a:defRPr b="0">
                <a:latin typeface="Segoe UI Black" pitchFamily="34" charset="0"/>
                <a:ea typeface="Segoe UI Black" pitchFamily="34" charset="0"/>
              </a:defRPr>
            </a:pPr>
            <a:endParaRPr lang="en-US"/>
          </a:p>
        </c:txPr>
        <c:crossAx val="122888576"/>
        <c:crosses val="autoZero"/>
        <c:auto val="1"/>
        <c:lblAlgn val="ctr"/>
        <c:lblOffset val="100"/>
      </c:catAx>
      <c:valAx>
        <c:axId val="122888576"/>
        <c:scaling>
          <c:orientation val="minMax"/>
        </c:scaling>
        <c:axPos val="l"/>
        <c:numFmt formatCode="&quot;₹&quot;\ #,##0" sourceLinked="0"/>
        <c:tickLblPos val="nextTo"/>
        <c:txPr>
          <a:bodyPr/>
          <a:lstStyle/>
          <a:p>
            <a:pPr>
              <a:defRPr>
                <a:latin typeface="Segoe UI Black" pitchFamily="34" charset="0"/>
                <a:ea typeface="Segoe UI Black" pitchFamily="34" charset="0"/>
              </a:defRPr>
            </a:pPr>
            <a:endParaRPr lang="en-US"/>
          </a:p>
        </c:txPr>
        <c:crossAx val="122886784"/>
        <c:crosses val="autoZero"/>
        <c:crossBetween val="between"/>
        <c:dispUnits>
          <c:builtInUnit val="hundredThousands"/>
          <c:dispUnitsLbl>
            <c:layout/>
            <c:tx>
              <c:rich>
                <a:bodyPr/>
                <a:lstStyle/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400" b="1" i="0" baseline="0">
                      <a:latin typeface="Segoe UI Black" pitchFamily="34" charset="0"/>
                      <a:ea typeface="Segoe UI Black" pitchFamily="34" charset="0"/>
                    </a:rPr>
                    <a:t>REVENUE (</a:t>
                  </a:r>
                  <a:r>
                    <a:rPr lang="en-US" sz="1400" b="1" i="0" u="none" strike="noStrike" baseline="0"/>
                    <a:t>₹ Lakhs</a:t>
                  </a:r>
                  <a:r>
                    <a:rPr lang="en-US" sz="1400" b="1" i="0" baseline="0">
                      <a:latin typeface="Segoe UI Black" pitchFamily="34" charset="0"/>
                      <a:ea typeface="Segoe UI Black" pitchFamily="34" charset="0"/>
                    </a:rPr>
                    <a:t>)</a:t>
                  </a:r>
                  <a:endParaRPr lang="en-US" sz="1400">
                    <a:latin typeface="Segoe UI Black" pitchFamily="34" charset="0"/>
                    <a:ea typeface="Segoe UI Black" pitchFamily="34" charset="0"/>
                  </a:endParaRPr>
                </a:p>
              </c:rich>
            </c:tx>
          </c:dispUnitsLbl>
        </c:dispUnits>
      </c:valAx>
    </c:plotArea>
    <c:plotVisOnly val="1"/>
  </c:chart>
  <c:spPr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[Snitch_Fashion_Sales_Cleaned-DASHBORD.xlsx]Pivots!PivotTable3</c:name>
    <c:fmtId val="5"/>
  </c:pivotSource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PROFIT BY CATEGORY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solidFill>
            <a:schemeClr val="tx1"/>
          </a:solidFill>
        </c:spPr>
        <c:marker>
          <c:symbol val="none"/>
        </c:marker>
        <c:dLbl>
          <c:idx val="0"/>
          <c:layout/>
          <c:numFmt formatCode="[&gt;99999][$₹]###,#\##0.0&quot;K&quot;;\ [$₹]##,##0.0&quot;K&quot;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3"/>
        <c:spPr>
          <a:solidFill>
            <a:schemeClr val="tx1"/>
          </a:solidFill>
        </c:spPr>
      </c:pivotFmt>
      <c:pivotFmt>
        <c:idx val="4"/>
        <c:spPr>
          <a:solidFill>
            <a:schemeClr val="tx1"/>
          </a:solidFill>
        </c:spPr>
      </c:pivotFmt>
      <c:pivotFmt>
        <c:idx val="5"/>
        <c:spPr>
          <a:solidFill>
            <a:schemeClr val="tx1"/>
          </a:solidFill>
        </c:spPr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</c:spPr>
          <c:dPt>
            <c:idx val="2"/>
          </c:dPt>
          <c:dPt>
            <c:idx val="3"/>
          </c:dPt>
          <c:dPt>
            <c:idx val="5"/>
          </c:dPt>
          <c:dLbls>
            <c:numFmt formatCode="[&gt;99999][$₹]###,#\##0.0&quot;K&quot;;\ [$₹]##,##0.0&quot;K&quot;" sourceLinked="0"/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Ref>
              <c:f>Pivots!$B$12:$B$18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Pivots!$C$12:$C$18</c:f>
              <c:numCache>
                <c:formatCode>"₹"\ #,##0.00</c:formatCode>
                <c:ptCount val="6"/>
                <c:pt idx="0">
                  <c:v>76840.060000000012</c:v>
                </c:pt>
                <c:pt idx="1">
                  <c:v>72945.149999999994</c:v>
                </c:pt>
                <c:pt idx="2">
                  <c:v>50702.909999999996</c:v>
                </c:pt>
                <c:pt idx="3">
                  <c:v>58751.689999999981</c:v>
                </c:pt>
                <c:pt idx="4">
                  <c:v>62073.109999999986</c:v>
                </c:pt>
                <c:pt idx="5">
                  <c:v>46632.739999999991</c:v>
                </c:pt>
              </c:numCache>
            </c:numRef>
          </c:val>
        </c:ser>
        <c:dLbls>
          <c:showVal val="1"/>
        </c:dLbls>
        <c:axId val="123273216"/>
        <c:axId val="123274752"/>
      </c:barChart>
      <c:catAx>
        <c:axId val="123273216"/>
        <c:scaling>
          <c:orientation val="minMax"/>
        </c:scaling>
        <c:axPos val="b"/>
        <c:numFmt formatCode="General" sourceLinked="0"/>
        <c:tickLblPos val="nextTo"/>
        <c:txPr>
          <a:bodyPr rot="0" vert="horz" anchor="ctr" anchorCtr="0"/>
          <a:lstStyle/>
          <a:p>
            <a:pPr>
              <a:defRPr/>
            </a:pPr>
            <a:endParaRPr lang="en-US"/>
          </a:p>
        </c:txPr>
        <c:crossAx val="123274752"/>
        <c:crosses val="autoZero"/>
        <c:auto val="1"/>
        <c:lblAlgn val="ctr"/>
        <c:lblOffset val="100"/>
      </c:catAx>
      <c:valAx>
        <c:axId val="123274752"/>
        <c:scaling>
          <c:orientation val="minMax"/>
        </c:scaling>
        <c:axPos val="l"/>
        <c:numFmt formatCode="&quot;₹&quot;\ #,##0" sourceLinked="0"/>
        <c:tickLblPos val="nextTo"/>
        <c:crossAx val="123273216"/>
        <c:crosses val="autoZero"/>
        <c:crossBetween val="between"/>
        <c:dispUnits>
          <c:builtInUnit val="thousands"/>
          <c:dispUnitsLbl>
            <c:layout/>
            <c:tx>
              <c:rich>
                <a:bodyPr/>
                <a:lstStyle/>
                <a:p>
                  <a:pPr>
                    <a:defRPr sz="1400"/>
                  </a:pPr>
                  <a:r>
                    <a:rPr lang="en-US" sz="1400" b="1" i="0" baseline="0"/>
                    <a:t>PROFIT (in Thousands)</a:t>
                  </a:r>
                  <a:endParaRPr lang="en-US" sz="1400"/>
                </a:p>
              </c:rich>
            </c:tx>
          </c:dispUnitsLbl>
        </c:dispUnits>
      </c:valAx>
    </c:plotArea>
    <c:plotVisOnly val="1"/>
  </c:chart>
  <c:spPr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atin typeface="Segoe UI Black" pitchFamily="34" charset="0"/>
          <a:ea typeface="Segoe UI Black" pitchFamily="34" charset="0"/>
        </a:defRPr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[Snitch_Fashion_Sales_Cleaned-DASHBORD.xlsx]Pivots!PivotTable4</c:name>
    <c:fmtId val="8"/>
  </c:pivotSource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TOP 10 PRODUCTS BY REVENUE (₹ Lakhs)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solidFill>
            <a:schemeClr val="tx1"/>
          </a:solidFill>
        </c:spPr>
        <c:marker>
          <c:symbol val="none"/>
        </c:marker>
        <c:dLbl>
          <c:idx val="0"/>
          <c:layout/>
          <c:numFmt formatCode="[&gt;99999][$₹]###,#\##0.00&quot;L&quot;;\ [$₹]##,##0.00&quot;L&quot;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Pivots!$F$2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</c:spPr>
          <c:dLbls>
            <c:numFmt formatCode="[&gt;99999][$₹]###,#\##0.00&quot;L&quot;;\ [$₹]##,##0.00&quot;L&quot;" sourceLinked="0"/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Pivots!$E$3:$E$13</c:f>
              <c:strCache>
                <c:ptCount val="10"/>
                <c:pt idx="0">
                  <c:v>Caps</c:v>
                </c:pt>
                <c:pt idx="1">
                  <c:v>Maxi Dress</c:v>
                </c:pt>
                <c:pt idx="2">
                  <c:v>Sneakers</c:v>
                </c:pt>
                <c:pt idx="3">
                  <c:v>Ripped Denim</c:v>
                </c:pt>
                <c:pt idx="4">
                  <c:v>Boots</c:v>
                </c:pt>
                <c:pt idx="5">
                  <c:v>Crop Top</c:v>
                </c:pt>
                <c:pt idx="6">
                  <c:v>Sunglasses</c:v>
                </c:pt>
                <c:pt idx="7">
                  <c:v>Classic Tee</c:v>
                </c:pt>
                <c:pt idx="8">
                  <c:v>Watches</c:v>
                </c:pt>
                <c:pt idx="9">
                  <c:v>Casual Midi</c:v>
                </c:pt>
              </c:strCache>
            </c:strRef>
          </c:cat>
          <c:val>
            <c:numRef>
              <c:f>Pivots!$F$3:$F$13</c:f>
              <c:numCache>
                <c:formatCode>"₹"\ #,##0.00</c:formatCode>
                <c:ptCount val="10"/>
                <c:pt idx="0">
                  <c:v>111385.39000000001</c:v>
                </c:pt>
                <c:pt idx="1">
                  <c:v>112512.65999999999</c:v>
                </c:pt>
                <c:pt idx="2">
                  <c:v>120461.83000000002</c:v>
                </c:pt>
                <c:pt idx="3">
                  <c:v>120502.10999999999</c:v>
                </c:pt>
                <c:pt idx="4">
                  <c:v>122382.21000000004</c:v>
                </c:pt>
                <c:pt idx="5">
                  <c:v>127047.99999999999</c:v>
                </c:pt>
                <c:pt idx="6">
                  <c:v>128868.65</c:v>
                </c:pt>
                <c:pt idx="7">
                  <c:v>135791.86000000002</c:v>
                </c:pt>
                <c:pt idx="8">
                  <c:v>163037.53</c:v>
                </c:pt>
                <c:pt idx="9">
                  <c:v>165835.31</c:v>
                </c:pt>
              </c:numCache>
            </c:numRef>
          </c:val>
        </c:ser>
        <c:dLbls>
          <c:showVal val="1"/>
        </c:dLbls>
        <c:axId val="123324672"/>
        <c:axId val="123330560"/>
      </c:barChart>
      <c:catAx>
        <c:axId val="123324672"/>
        <c:scaling>
          <c:orientation val="minMax"/>
        </c:scaling>
        <c:axPos val="l"/>
        <c:tickLblPos val="low"/>
        <c:crossAx val="123330560"/>
        <c:crosses val="autoZero"/>
        <c:auto val="1"/>
        <c:lblAlgn val="ctr"/>
        <c:lblOffset val="100"/>
      </c:catAx>
      <c:valAx>
        <c:axId val="123330560"/>
        <c:scaling>
          <c:orientation val="minMax"/>
        </c:scaling>
        <c:axPos val="b"/>
        <c:numFmt formatCode="&quot;₹&quot;\ #,##0.0" sourceLinked="0"/>
        <c:majorTickMark val="in"/>
        <c:tickLblPos val="nextTo"/>
        <c:crossAx val="123324672"/>
        <c:crosses val="autoZero"/>
        <c:crossBetween val="between"/>
        <c:dispUnits>
          <c:builtInUnit val="hundredThousands"/>
          <c:dispUnitsLbl>
            <c:layout>
              <c:manualLayout>
                <c:xMode val="edge"/>
                <c:yMode val="edge"/>
                <c:x val="0.42614588917380614"/>
                <c:y val="0.89747815340712178"/>
              </c:manualLayout>
            </c:layout>
            <c:tx>
              <c:rich>
                <a:bodyPr/>
                <a:lstStyle/>
                <a:p>
                  <a:pPr>
                    <a:defRPr sz="1400"/>
                  </a:pPr>
                  <a:r>
                    <a:rPr lang="en-US" sz="1400"/>
                    <a:t>Revenue </a:t>
                  </a:r>
                </a:p>
              </c:rich>
            </c:tx>
          </c:dispUnitsLbl>
        </c:dispUnits>
      </c:valAx>
    </c:plotArea>
    <c:plotVisOnly val="1"/>
  </c:chart>
  <c:spPr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200">
          <a:latin typeface="Segoe UI Black" pitchFamily="34" charset="0"/>
          <a:ea typeface="Segoe UI Black" pitchFamily="34" charset="0"/>
        </a:defRPr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[Snitch_Fashion_Sales_Cleaned-DASHBORD.xlsx]Pivots!PivotTable8</c:name>
    <c:fmtId val="2"/>
  </c:pivotSource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DISCOUNT vs</a:t>
            </a:r>
            <a:r>
              <a:rPr lang="en-US" sz="1400" baseline="0"/>
              <a:t> PROFIT</a:t>
            </a:r>
            <a:endParaRPr lang="en-US" sz="1400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spPr>
          <a:solidFill>
            <a:schemeClr val="tx1"/>
          </a:solidFill>
        </c:spPr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Pivots!$C$20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</c:spPr>
          <c:cat>
            <c:strRef>
              <c:f>Pivots!$B$21:$B$23</c:f>
              <c:strCache>
                <c:ptCount val="2"/>
                <c:pt idx="0">
                  <c:v>Discounted</c:v>
                </c:pt>
                <c:pt idx="1">
                  <c:v>No Discount</c:v>
                </c:pt>
              </c:strCache>
            </c:strRef>
          </c:cat>
          <c:val>
            <c:numRef>
              <c:f>Pivots!$C$21:$C$23</c:f>
              <c:numCache>
                <c:formatCode>"₹"\ #,##0.00</c:formatCode>
                <c:ptCount val="2"/>
                <c:pt idx="0">
                  <c:v>108860.15</c:v>
                </c:pt>
                <c:pt idx="1">
                  <c:v>259085.50999999989</c:v>
                </c:pt>
              </c:numCache>
            </c:numRef>
          </c:val>
        </c:ser>
        <c:axId val="123363328"/>
        <c:axId val="123364864"/>
      </c:barChart>
      <c:catAx>
        <c:axId val="123363328"/>
        <c:scaling>
          <c:orientation val="minMax"/>
        </c:scaling>
        <c:axPos val="b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23364864"/>
        <c:crosses val="autoZero"/>
        <c:auto val="1"/>
        <c:lblAlgn val="ctr"/>
        <c:lblOffset val="100"/>
      </c:catAx>
      <c:valAx>
        <c:axId val="123364864"/>
        <c:scaling>
          <c:orientation val="minMax"/>
        </c:scaling>
        <c:axPos val="l"/>
        <c:numFmt formatCode="&quot;₹&quot;\ #,##0.0" sourceLinked="0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3363328"/>
        <c:crosses val="autoZero"/>
        <c:crossBetween val="between"/>
        <c:dispUnits>
          <c:builtInUnit val="hundredThousands"/>
          <c:dispUnitsLbl>
            <c:layout/>
            <c:tx>
              <c:rich>
                <a:bodyPr/>
                <a:lstStyle/>
                <a:p>
                  <a:pPr>
                    <a:defRPr sz="1400"/>
                  </a:pPr>
                  <a:r>
                    <a:rPr lang="en-US" sz="1400"/>
                    <a:t>PROFIT (in Lakhs)</a:t>
                  </a:r>
                </a:p>
              </c:rich>
            </c:tx>
          </c:dispUnitsLbl>
        </c:dispUnits>
      </c:valAx>
    </c:plotArea>
    <c:plotVisOnly val="1"/>
  </c:chart>
  <c:spPr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100">
          <a:latin typeface="Segoe UI Black" pitchFamily="34" charset="0"/>
          <a:ea typeface="Segoe UI Black" pitchFamily="34" charset="0"/>
        </a:defRPr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pivotSource>
    <c:name>[Snitch_Fashion_Sales_Cleaned-DASHBORD.xlsx]Pivots!PivotTable1</c:name>
    <c:fmtId val="16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 (YEAR-WISE COMPARISION)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/>
      <c:lineChart>
        <c:grouping val="standard"/>
        <c:ser>
          <c:idx val="0"/>
          <c:order val="0"/>
          <c:tx>
            <c:strRef>
              <c:f>Pivots!$C$26:$C$27</c:f>
              <c:strCache>
                <c:ptCount val="1"/>
                <c:pt idx="0">
                  <c:v>2023</c:v>
                </c:pt>
              </c:strCache>
            </c:strRef>
          </c:tx>
          <c:cat>
            <c:strRef>
              <c:f>Pivots!$B$28:$B$40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Pivots!$C$28:$C$40</c:f>
              <c:numCache>
                <c:formatCode>"₹"\ #,##0.00</c:formatCode>
                <c:ptCount val="12"/>
                <c:pt idx="6">
                  <c:v>42459.369999999995</c:v>
                </c:pt>
                <c:pt idx="7">
                  <c:v>67401.48000000001</c:v>
                </c:pt>
                <c:pt idx="8">
                  <c:v>38942.840000000004</c:v>
                </c:pt>
                <c:pt idx="9">
                  <c:v>45082.42</c:v>
                </c:pt>
                <c:pt idx="10">
                  <c:v>46199.41</c:v>
                </c:pt>
                <c:pt idx="11">
                  <c:v>90321.209999999992</c:v>
                </c:pt>
              </c:numCache>
            </c:numRef>
          </c:val>
        </c:ser>
        <c:ser>
          <c:idx val="1"/>
          <c:order val="1"/>
          <c:tx>
            <c:strRef>
              <c:f>Pivots!$D$26:$D$27</c:f>
              <c:strCache>
                <c:ptCount val="1"/>
                <c:pt idx="0">
                  <c:v>2024</c:v>
                </c:pt>
              </c:strCache>
            </c:strRef>
          </c:tx>
          <c:cat>
            <c:strRef>
              <c:f>Pivots!$B$28:$B$40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Pivots!$D$28:$D$40</c:f>
              <c:numCache>
                <c:formatCode>"₹"\ #,##0.00</c:formatCode>
                <c:ptCount val="12"/>
                <c:pt idx="0">
                  <c:v>42623.17</c:v>
                </c:pt>
                <c:pt idx="1">
                  <c:v>54779.270000000004</c:v>
                </c:pt>
                <c:pt idx="2">
                  <c:v>42701.429999999993</c:v>
                </c:pt>
                <c:pt idx="3">
                  <c:v>62633.53</c:v>
                </c:pt>
                <c:pt idx="4">
                  <c:v>17272.579999999998</c:v>
                </c:pt>
                <c:pt idx="5">
                  <c:v>48975.930000000008</c:v>
                </c:pt>
                <c:pt idx="6">
                  <c:v>77455.070000000007</c:v>
                </c:pt>
                <c:pt idx="7">
                  <c:v>251417.95999999996</c:v>
                </c:pt>
                <c:pt idx="8">
                  <c:v>119363.87</c:v>
                </c:pt>
                <c:pt idx="9">
                  <c:v>164769.90999999997</c:v>
                </c:pt>
                <c:pt idx="10">
                  <c:v>186128.69</c:v>
                </c:pt>
                <c:pt idx="11">
                  <c:v>136391.69</c:v>
                </c:pt>
              </c:numCache>
            </c:numRef>
          </c:val>
        </c:ser>
        <c:ser>
          <c:idx val="2"/>
          <c:order val="2"/>
          <c:tx>
            <c:strRef>
              <c:f>Pivots!$E$26:$E$27</c:f>
              <c:strCache>
                <c:ptCount val="1"/>
                <c:pt idx="0">
                  <c:v>2025</c:v>
                </c:pt>
              </c:strCache>
            </c:strRef>
          </c:tx>
          <c:cat>
            <c:strRef>
              <c:f>Pivots!$B$28:$B$40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Pivots!$E$28:$E$40</c:f>
              <c:numCache>
                <c:formatCode>"₹"\ #,##0.00</c:formatCode>
                <c:ptCount val="12"/>
                <c:pt idx="0">
                  <c:v>193392.33</c:v>
                </c:pt>
                <c:pt idx="1">
                  <c:v>94058.380000000019</c:v>
                </c:pt>
                <c:pt idx="2">
                  <c:v>154242.03999999998</c:v>
                </c:pt>
                <c:pt idx="3">
                  <c:v>115810.38999999998</c:v>
                </c:pt>
                <c:pt idx="4">
                  <c:v>211641.54</c:v>
                </c:pt>
                <c:pt idx="5">
                  <c:v>126217.33999999998</c:v>
                </c:pt>
                <c:pt idx="6">
                  <c:v>145247.41</c:v>
                </c:pt>
              </c:numCache>
            </c:numRef>
          </c:val>
        </c:ser>
        <c:marker val="1"/>
        <c:axId val="123472896"/>
        <c:axId val="123491072"/>
      </c:lineChart>
      <c:catAx>
        <c:axId val="123472896"/>
        <c:scaling>
          <c:orientation val="minMax"/>
        </c:scaling>
        <c:axPos val="b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23491072"/>
        <c:crosses val="autoZero"/>
        <c:auto val="1"/>
        <c:lblAlgn val="ctr"/>
        <c:lblOffset val="100"/>
      </c:catAx>
      <c:valAx>
        <c:axId val="123491072"/>
        <c:scaling>
          <c:orientation val="minMax"/>
        </c:scaling>
        <c:axPos val="l"/>
        <c:majorGridlines/>
        <c:numFmt formatCode="&quot;₹&quot;\ #,##0.0" sourceLinked="0"/>
        <c:tickLblPos val="nextTo"/>
        <c:crossAx val="123472896"/>
        <c:crosses val="autoZero"/>
        <c:crossBetween val="between"/>
        <c:dispUnits>
          <c:builtInUnit val="hundredThousands"/>
          <c:dispUnitsLbl>
            <c:layout/>
            <c:tx>
              <c:rich>
                <a:bodyPr/>
                <a:lstStyle/>
                <a:p>
                  <a:pPr>
                    <a:defRPr sz="1400"/>
                  </a:pPr>
                  <a:r>
                    <a:rPr lang="en-US" sz="1400"/>
                    <a:t>Revenue (</a:t>
                  </a:r>
                  <a:r>
                    <a:rPr lang="en-US" sz="1400" b="1" i="0" u="none" strike="noStrike" baseline="0"/>
                    <a:t>₹ Lakhs</a:t>
                  </a:r>
                  <a:r>
                    <a:rPr lang="en-US" sz="1400"/>
                    <a:t>)</a:t>
                  </a:r>
                </a:p>
              </c:rich>
            </c:tx>
          </c:dispUnitsLbl>
        </c:dispUnits>
      </c:valAx>
    </c:plotArea>
    <c:legend>
      <c:legendPos val="r"/>
      <c:layout/>
    </c:legend>
    <c:plotVisOnly val="1"/>
  </c:chart>
  <c:spPr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atin typeface="Segoe UI Black" pitchFamily="34" charset="0"/>
          <a:ea typeface="Segoe UI Black" pitchFamily="34" charset="0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pivotSource>
    <c:name>[Snitch_Fashion_Sales_Cleaned-DASHBORD.xlsx]Pivots!PivotTable5</c:name>
    <c:fmtId val="19"/>
  </c:pivotSource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REVENUE SHARE BY SEGEMENT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spPr>
          <a:ln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sz="1200">
                  <a:solidFill>
                    <a:schemeClr val="bg1"/>
                  </a:solidFill>
                </a:defRPr>
              </a:pPr>
              <a:endParaRPr lang="en-US"/>
            </a:p>
          </c:txPr>
          <c:showCatName val="1"/>
          <c:showPercent val="1"/>
        </c:dLbl>
      </c:pivotFmt>
      <c:pivotFmt>
        <c:idx val="3"/>
        <c:spPr>
          <a:solidFill>
            <a:schemeClr val="tx1"/>
          </a:solidFill>
        </c:spPr>
        <c:dLbl>
          <c:idx val="0"/>
          <c:layout>
            <c:manualLayout>
              <c:x val="8.6696777678742704E-2"/>
              <c:y val="-0.10473521371069168"/>
            </c:manualLayout>
          </c:layout>
          <c:showCatName val="1"/>
          <c:showPercent val="1"/>
        </c:dLbl>
      </c:pivotFmt>
      <c:pivotFmt>
        <c:idx val="4"/>
        <c:spPr>
          <a:solidFill>
            <a:schemeClr val="bg1">
              <a:lumMod val="65000"/>
            </a:schemeClr>
          </a:solidFill>
          <a:ln>
            <a:noFill/>
          </a:ln>
        </c:spPr>
        <c:dLbl>
          <c:idx val="0"/>
          <c:layout>
            <c:manualLayout>
              <c:x val="1.1559570357165698E-2"/>
              <c:y val="6.9823475807127781E-3"/>
            </c:manualLayout>
          </c:layout>
          <c:showCatName val="1"/>
          <c:showPercent val="1"/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>
            <a:noFill/>
          </a:ln>
        </c:spPr>
        <c:dLbl>
          <c:idx val="0"/>
          <c:layout>
            <c:manualLayout>
              <c:x val="-3.7568603660788506E-2"/>
              <c:y val="0"/>
            </c:manualLayout>
          </c:layout>
          <c:showCatName val="1"/>
          <c:showPercent val="1"/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Pivots!$F$16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</c:spPr>
          </c:dPt>
          <c:dPt>
            <c:idx val="1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</c:spPr>
          </c:dPt>
          <c:dPt>
            <c:idx val="2"/>
            <c:spPr>
              <a:solidFill>
                <a:schemeClr val="tx1"/>
              </a:solidFill>
            </c:spPr>
          </c:dPt>
          <c:dLbls>
            <c:dLbl>
              <c:idx val="0"/>
              <c:layout>
                <c:manualLayout>
                  <c:x val="1.1559570357165698E-2"/>
                  <c:y val="6.9823475807127781E-3"/>
                </c:manualLayout>
              </c:layout>
              <c:showCatName val="1"/>
              <c:showPercent val="1"/>
            </c:dLbl>
            <c:dLbl>
              <c:idx val="1"/>
              <c:layout>
                <c:manualLayout>
                  <c:x val="-3.7568603660788506E-2"/>
                  <c:y val="0"/>
                </c:manualLayout>
              </c:layout>
              <c:showCatName val="1"/>
              <c:showPercent val="1"/>
            </c:dLbl>
            <c:dLbl>
              <c:idx val="2"/>
              <c:layout>
                <c:manualLayout>
                  <c:x val="8.6696777678742704E-2"/>
                  <c:y val="-0.10473521371069168"/>
                </c:manualLayout>
              </c:layout>
              <c:showCatName val="1"/>
              <c:showPercent val="1"/>
            </c:dLbl>
            <c:spPr/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CatName val="1"/>
            <c:showPercent val="1"/>
            <c:showLeaderLines val="1"/>
          </c:dLbls>
          <c:cat>
            <c:strRef>
              <c:f>Pivots!$E$17:$E$20</c:f>
              <c:strCache>
                <c:ptCount val="3"/>
                <c:pt idx="0">
                  <c:v>B2B</c:v>
                </c:pt>
                <c:pt idx="1">
                  <c:v>B2C</c:v>
                </c:pt>
                <c:pt idx="2">
                  <c:v>OTHERS</c:v>
                </c:pt>
              </c:strCache>
            </c:strRef>
          </c:cat>
          <c:val>
            <c:numRef>
              <c:f>Pivots!$F$17:$F$20</c:f>
              <c:numCache>
                <c:formatCode>"₹"\ #,##0.00</c:formatCode>
                <c:ptCount val="3"/>
                <c:pt idx="0">
                  <c:v>742657.44999999984</c:v>
                </c:pt>
                <c:pt idx="1">
                  <c:v>903864.72000000032</c:v>
                </c:pt>
                <c:pt idx="2">
                  <c:v>929007.08999999985</c:v>
                </c:pt>
              </c:numCache>
            </c:numRef>
          </c:val>
        </c:ser>
        <c:dLbls>
          <c:showCatName val="1"/>
          <c:showPercent val="1"/>
        </c:dLbls>
        <c:firstSliceAng val="0"/>
        <c:holeSize val="50"/>
      </c:doughnutChart>
    </c:plotArea>
    <c:plotVisOnly val="1"/>
  </c:chart>
  <c:spPr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atin typeface="Segoe UI Black" pitchFamily="34" charset="0"/>
          <a:ea typeface="Segoe UI Black" pitchFamily="34" charset="0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[Snitch_Fashion_Sales_Cleaned-DASHBORD.xlsx]Pivots!PivotTable9</c:name>
    <c:fmtId val="5"/>
  </c:pivotSource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Segoe UI Black" pitchFamily="34" charset="0"/>
                <a:ea typeface="Segoe UI Black" pitchFamily="34" charset="0"/>
                <a:cs typeface="+mn-cs"/>
              </a:defRPr>
            </a:pPr>
            <a:r>
              <a:rPr lang="en-US" sz="1600"/>
              <a:t>CITY-WISE</a:t>
            </a:r>
            <a:r>
              <a:rPr lang="en-US" sz="1600" baseline="0"/>
              <a:t> REVENUE </a:t>
            </a:r>
            <a:r>
              <a:rPr lang="en-US" sz="1600" b="1" i="0" baseline="0"/>
              <a:t>(₹ Lakhs)</a:t>
            </a:r>
            <a:endParaRPr lang="en-US" sz="1600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solidFill>
            <a:schemeClr val="tx1"/>
          </a:solidFill>
        </c:spPr>
        <c:marker>
          <c:symbol val="none"/>
        </c:marker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delete val="1"/>
        </c:dLbl>
      </c:pivotFmt>
      <c:pivotFmt>
        <c:idx val="8"/>
        <c:dLbl>
          <c:idx val="0"/>
          <c:delete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Pivots!$I$31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</c:spPr>
          <c:dLbls>
            <c:dLbl>
              <c:idx val="0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numFmt formatCode="[&gt;99999][$₹]###,#\##0.0&quot;L&quot;;\ [$₹]##,##0.0&quot;L&quot;" sourceLinked="0"/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Ref>
              <c:f>Pivots!$H$32:$H$38</c:f>
              <c:strCache>
                <c:ptCount val="6"/>
                <c:pt idx="0">
                  <c:v>Ahmedabad</c:v>
                </c:pt>
                <c:pt idx="1">
                  <c:v>Bengaluru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Pivots!$I$32:$I$38</c:f>
              <c:numCache>
                <c:formatCode>"₹"\ #,##0.00</c:formatCode>
                <c:ptCount val="6"/>
                <c:pt idx="0">
                  <c:v>478558.2900000001</c:v>
                </c:pt>
                <c:pt idx="1">
                  <c:v>559517.35000000009</c:v>
                </c:pt>
                <c:pt idx="2">
                  <c:v>352429.36999999994</c:v>
                </c:pt>
                <c:pt idx="3">
                  <c:v>500559.52999999997</c:v>
                </c:pt>
                <c:pt idx="4">
                  <c:v>399840.33</c:v>
                </c:pt>
                <c:pt idx="5">
                  <c:v>284624.3899999999</c:v>
                </c:pt>
              </c:numCache>
            </c:numRef>
          </c:val>
        </c:ser>
        <c:dLbls>
          <c:showVal val="1"/>
        </c:dLbls>
        <c:axId val="123416576"/>
        <c:axId val="123418112"/>
      </c:barChart>
      <c:catAx>
        <c:axId val="123416576"/>
        <c:scaling>
          <c:orientation val="minMax"/>
        </c:scaling>
        <c:axPos val="b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3418112"/>
        <c:crosses val="autoZero"/>
        <c:auto val="1"/>
        <c:lblAlgn val="ctr"/>
        <c:lblOffset val="100"/>
      </c:catAx>
      <c:valAx>
        <c:axId val="123418112"/>
        <c:scaling>
          <c:orientation val="minMax"/>
        </c:scaling>
        <c:axPos val="l"/>
        <c:numFmt formatCode="[$₹-820]\ #,##0" sourceLinked="0"/>
        <c:tickLblPos val="nextTo"/>
        <c:crossAx val="123416576"/>
        <c:crosses val="autoZero"/>
        <c:crossBetween val="between"/>
        <c:dispUnits>
          <c:builtInUnit val="hundredThousands"/>
          <c:dispUnitsLbl>
            <c:layout/>
            <c:tx>
              <c:rich>
                <a:bodyPr/>
                <a:lstStyle/>
                <a:p>
                  <a:pPr>
                    <a:defRPr/>
                  </a:pPr>
                  <a:r>
                    <a:rPr lang="en-US"/>
                    <a:t>Revenue (₹ Lakhs)</a:t>
                  </a:r>
                </a:p>
              </c:rich>
            </c:tx>
          </c:dispUnitsLbl>
        </c:dispUnits>
      </c:valAx>
    </c:plotArea>
    <c:plotVisOnly val="1"/>
  </c:chart>
  <c:spPr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200">
          <a:latin typeface="Segoe UI Black" pitchFamily="34" charset="0"/>
          <a:ea typeface="Segoe UI Black" pitchFamily="34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12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chart" Target="../charts/chart7.xml"/><Relationship Id="rId5" Type="http://schemas.openxmlformats.org/officeDocument/2006/relationships/chart" Target="../charts/chart5.xml"/><Relationship Id="rId10" Type="http://schemas.openxmlformats.org/officeDocument/2006/relationships/chart" Target="../charts/chart6.xml"/><Relationship Id="rId4" Type="http://schemas.openxmlformats.org/officeDocument/2006/relationships/chart" Target="../charts/chart4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62752</xdr:colOff>
      <xdr:row>0</xdr:row>
      <xdr:rowOff>66341</xdr:rowOff>
    </xdr:from>
    <xdr:to>
      <xdr:col>30</xdr:col>
      <xdr:colOff>235324</xdr:colOff>
      <xdr:row>1</xdr:row>
      <xdr:rowOff>168088</xdr:rowOff>
    </xdr:to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62752" y="66341"/>
          <a:ext cx="20836219" cy="68445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wrap="square" lIns="36576" tIns="36576" rIns="0" bIns="0" anchor="ctr" upright="1"/>
        <a:lstStyle/>
        <a:p>
          <a:pPr algn="ctr" rtl="1">
            <a:defRPr sz="1000"/>
          </a:pPr>
          <a:endParaRPr lang="en-US" sz="2800" b="0" i="0" strike="noStrike">
            <a:solidFill>
              <a:srgbClr val="000000"/>
            </a:solidFill>
            <a:latin typeface="Segoe UI Black" pitchFamily="34" charset="0"/>
            <a:ea typeface="Segoe UI Black" pitchFamily="34" charset="0"/>
            <a:cs typeface="Calibri"/>
          </a:endParaRPr>
        </a:p>
      </xdr:txBody>
    </xdr:sp>
    <xdr:clientData/>
  </xdr:twoCellAnchor>
  <xdr:twoCellAnchor>
    <xdr:from>
      <xdr:col>15</xdr:col>
      <xdr:colOff>392228</xdr:colOff>
      <xdr:row>2</xdr:row>
      <xdr:rowOff>70586</xdr:rowOff>
    </xdr:from>
    <xdr:to>
      <xdr:col>18</xdr:col>
      <xdr:colOff>518794</xdr:colOff>
      <xdr:row>6</xdr:row>
      <xdr:rowOff>160015</xdr:rowOff>
    </xdr:to>
    <xdr:grpSp>
      <xdr:nvGrpSpPr>
        <xdr:cNvPr id="16" name="Group 15"/>
        <xdr:cNvGrpSpPr/>
      </xdr:nvGrpSpPr>
      <xdr:grpSpPr>
        <a:xfrm>
          <a:off x="9849993" y="832586"/>
          <a:ext cx="1941919" cy="806605"/>
          <a:chOff x="1152698" y="3460866"/>
          <a:chExt cx="1730692" cy="660861"/>
        </a:xfrm>
        <a:solidFill>
          <a:sysClr val="window" lastClr="FFFFFF"/>
        </a:solidFill>
      </xdr:grpSpPr>
      <xdr:sp macro="" textlink="KPI_Calc!B3">
        <xdr:nvSpPr>
          <xdr:cNvPr id="2" name="Rounded Rectangle 1"/>
          <xdr:cNvSpPr/>
        </xdr:nvSpPr>
        <xdr:spPr>
          <a:xfrm>
            <a:off x="1152698" y="3460866"/>
            <a:ext cx="1730692" cy="660861"/>
          </a:xfrm>
          <a:prstGeom prst="rect">
            <a:avLst/>
          </a:prstGeom>
          <a:grpFill/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b"/>
          <a:lstStyle/>
          <a:p>
            <a:pPr algn="ctr"/>
            <a:fld id="{3C2621D0-2C71-457C-A737-DA9D13066AED}" type="TxLink">
              <a:rPr lang="en-US" sz="2400">
                <a:solidFill>
                  <a:sysClr val="windowText" lastClr="000000"/>
                </a:solidFill>
                <a:latin typeface="Segoe UI Black" pitchFamily="34" charset="0"/>
                <a:ea typeface="Segoe UI Black" pitchFamily="34" charset="0"/>
              </a:rPr>
              <a:pPr algn="ctr"/>
              <a:t>1105</a:t>
            </a:fld>
            <a:endParaRPr lang="en-US" sz="2400">
              <a:solidFill>
                <a:sysClr val="windowText" lastClr="000000"/>
              </a:solidFill>
              <a:latin typeface="Segoe UI Black" pitchFamily="34" charset="0"/>
              <a:ea typeface="Segoe UI Black" pitchFamily="34" charset="0"/>
            </a:endParaRPr>
          </a:p>
        </xdr:txBody>
      </xdr:sp>
      <xdr:sp macro="" textlink="">
        <xdr:nvSpPr>
          <xdr:cNvPr id="6" name="TextBox 5"/>
          <xdr:cNvSpPr txBox="1"/>
        </xdr:nvSpPr>
        <xdr:spPr>
          <a:xfrm>
            <a:off x="1164252" y="3472115"/>
            <a:ext cx="1706570" cy="276723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ctr">
            <a:spAutoFit/>
          </a:bodyPr>
          <a:lstStyle/>
          <a:p>
            <a:pPr algn="ctr"/>
            <a:r>
              <a:rPr lang="en-US" sz="1400" baseline="0">
                <a:latin typeface="Segoe UI Black" pitchFamily="34" charset="0"/>
                <a:ea typeface="Segoe UI Black" pitchFamily="34" charset="0"/>
              </a:rPr>
              <a:t>TOTAL UNITS SOLD</a:t>
            </a:r>
          </a:p>
        </xdr:txBody>
      </xdr:sp>
    </xdr:grpSp>
    <xdr:clientData/>
  </xdr:twoCellAnchor>
  <xdr:twoCellAnchor>
    <xdr:from>
      <xdr:col>8</xdr:col>
      <xdr:colOff>198942</xdr:colOff>
      <xdr:row>2</xdr:row>
      <xdr:rowOff>69870</xdr:rowOff>
    </xdr:from>
    <xdr:to>
      <xdr:col>12</xdr:col>
      <xdr:colOff>378236</xdr:colOff>
      <xdr:row>6</xdr:row>
      <xdr:rowOff>152782</xdr:rowOff>
    </xdr:to>
    <xdr:grpSp>
      <xdr:nvGrpSpPr>
        <xdr:cNvPr id="29" name="Group 28"/>
        <xdr:cNvGrpSpPr/>
      </xdr:nvGrpSpPr>
      <xdr:grpSpPr>
        <a:xfrm>
          <a:off x="5420883" y="831870"/>
          <a:ext cx="2599765" cy="800088"/>
          <a:chOff x="8080616" y="492763"/>
          <a:chExt cx="2429956" cy="656950"/>
        </a:xfrm>
        <a:solidFill>
          <a:sysClr val="window" lastClr="FFFFFF"/>
        </a:solidFill>
      </xdr:grpSpPr>
      <xdr:sp macro="" textlink="KPI_Calc!B12">
        <xdr:nvSpPr>
          <xdr:cNvPr id="11" name="Rounded Rectangle 10"/>
          <xdr:cNvSpPr/>
        </xdr:nvSpPr>
        <xdr:spPr>
          <a:xfrm>
            <a:off x="8080616" y="494783"/>
            <a:ext cx="2429956" cy="654930"/>
          </a:xfrm>
          <a:prstGeom prst="rect">
            <a:avLst/>
          </a:prstGeom>
          <a:grpFill/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b"/>
          <a:lstStyle/>
          <a:p>
            <a:pPr algn="ctr"/>
            <a:fld id="{F637DCA3-2C4C-4F8C-AC4A-1215DD644FBE}" type="TxLink">
              <a:rPr lang="en-US" sz="2400">
                <a:solidFill>
                  <a:sysClr val="windowText" lastClr="000000"/>
                </a:solidFill>
                <a:latin typeface="Segoe UI Black" pitchFamily="34" charset="0"/>
                <a:ea typeface="Segoe UI Black" pitchFamily="34" charset="0"/>
              </a:rPr>
              <a:pPr algn="ctr"/>
              <a:t>14.29%</a:t>
            </a:fld>
            <a:endParaRPr lang="en-US" sz="2400">
              <a:solidFill>
                <a:sysClr val="windowText" lastClr="000000"/>
              </a:solidFill>
              <a:latin typeface="Segoe UI Black" pitchFamily="34" charset="0"/>
              <a:ea typeface="Segoe UI Black" pitchFamily="34" charset="0"/>
            </a:endParaRP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8089273" y="492763"/>
            <a:ext cx="2404004" cy="265522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ctr">
            <a:noAutofit/>
          </a:bodyPr>
          <a:lstStyle/>
          <a:p>
            <a:pPr algn="ctr"/>
            <a:r>
              <a:rPr lang="en-US" sz="1400" baseline="0">
                <a:latin typeface="Segoe UI Black" pitchFamily="34" charset="0"/>
                <a:ea typeface="Segoe UI Black" pitchFamily="34" charset="0"/>
              </a:rPr>
              <a:t>OVERALL PROFIT MARGIN</a:t>
            </a:r>
          </a:p>
        </xdr:txBody>
      </xdr:sp>
    </xdr:grpSp>
    <xdr:clientData/>
  </xdr:twoCellAnchor>
  <xdr:twoCellAnchor>
    <xdr:from>
      <xdr:col>0</xdr:col>
      <xdr:colOff>78570</xdr:colOff>
      <xdr:row>7</xdr:row>
      <xdr:rowOff>50753</xdr:rowOff>
    </xdr:from>
    <xdr:to>
      <xdr:col>9</xdr:col>
      <xdr:colOff>65315</xdr:colOff>
      <xdr:row>27</xdr:row>
      <xdr:rowOff>119741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195944</xdr:colOff>
      <xdr:row>7</xdr:row>
      <xdr:rowOff>66267</xdr:rowOff>
    </xdr:from>
    <xdr:to>
      <xdr:col>18</xdr:col>
      <xdr:colOff>511630</xdr:colOff>
      <xdr:row>27</xdr:row>
      <xdr:rowOff>119741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229240</xdr:colOff>
      <xdr:row>28</xdr:row>
      <xdr:rowOff>56029</xdr:rowOff>
    </xdr:from>
    <xdr:to>
      <xdr:col>24</xdr:col>
      <xdr:colOff>280147</xdr:colOff>
      <xdr:row>52</xdr:row>
      <xdr:rowOff>72998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392206</xdr:colOff>
      <xdr:row>26</xdr:row>
      <xdr:rowOff>112058</xdr:rowOff>
    </xdr:from>
    <xdr:to>
      <xdr:col>30</xdr:col>
      <xdr:colOff>224119</xdr:colOff>
      <xdr:row>52</xdr:row>
      <xdr:rowOff>78441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75559</xdr:colOff>
      <xdr:row>28</xdr:row>
      <xdr:rowOff>56028</xdr:rowOff>
    </xdr:from>
    <xdr:to>
      <xdr:col>15</xdr:col>
      <xdr:colOff>134469</xdr:colOff>
      <xdr:row>52</xdr:row>
      <xdr:rowOff>78440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201707</xdr:colOff>
      <xdr:row>0</xdr:row>
      <xdr:rowOff>44824</xdr:rowOff>
    </xdr:from>
    <xdr:to>
      <xdr:col>18</xdr:col>
      <xdr:colOff>582706</xdr:colOff>
      <xdr:row>1</xdr:row>
      <xdr:rowOff>168088</xdr:rowOff>
    </xdr:to>
    <xdr:pic>
      <xdr:nvPicPr>
        <xdr:cNvPr id="1025" name="Picture 1" descr="SNITCH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449236" y="44824"/>
          <a:ext cx="3406588" cy="7059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62751</xdr:colOff>
      <xdr:row>2</xdr:row>
      <xdr:rowOff>55528</xdr:rowOff>
    </xdr:from>
    <xdr:to>
      <xdr:col>3</xdr:col>
      <xdr:colOff>534977</xdr:colOff>
      <xdr:row>6</xdr:row>
      <xdr:rowOff>116536</xdr:rowOff>
    </xdr:to>
    <xdr:grpSp>
      <xdr:nvGrpSpPr>
        <xdr:cNvPr id="31" name="Group 30"/>
        <xdr:cNvGrpSpPr/>
      </xdr:nvGrpSpPr>
      <xdr:grpSpPr>
        <a:xfrm>
          <a:off x="62751" y="817528"/>
          <a:ext cx="2668579" cy="778184"/>
          <a:chOff x="9027458" y="1758828"/>
          <a:chExt cx="2668579" cy="778184"/>
        </a:xfrm>
      </xdr:grpSpPr>
      <xdr:grpSp>
        <xdr:nvGrpSpPr>
          <xdr:cNvPr id="26" name="Group 25"/>
          <xdr:cNvGrpSpPr/>
        </xdr:nvGrpSpPr>
        <xdr:grpSpPr>
          <a:xfrm>
            <a:off x="9027458" y="1758828"/>
            <a:ext cx="2668579" cy="778184"/>
            <a:chOff x="55418" y="487833"/>
            <a:chExt cx="2057400" cy="671100"/>
          </a:xfrm>
          <a:solidFill>
            <a:srgbClr val="98C0FA"/>
          </a:solidFill>
        </xdr:grpSpPr>
        <xdr:sp macro="" textlink="KPI_Calc!B6">
          <xdr:nvSpPr>
            <xdr:cNvPr id="7" name="Rounded Rectangle 6"/>
            <xdr:cNvSpPr/>
          </xdr:nvSpPr>
          <xdr:spPr>
            <a:xfrm>
              <a:off x="58145" y="489895"/>
              <a:ext cx="2054673" cy="669038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b"/>
            <a:lstStyle/>
            <a:p>
              <a:pPr algn="r"/>
              <a:fld id="{F732DF6E-CA9E-4F07-BAF3-56B6A565AC78}" type="TxLink">
                <a:rPr lang="en-US" sz="2400">
                  <a:solidFill>
                    <a:sysClr val="windowText" lastClr="000000"/>
                  </a:solidFill>
                  <a:latin typeface="Segoe UI Black" pitchFamily="34" charset="0"/>
                  <a:ea typeface="Segoe UI Black" pitchFamily="34" charset="0"/>
                </a:rPr>
                <a:pPr algn="r"/>
                <a:t>₹ 25,75,529</a:t>
              </a:fld>
              <a:endParaRPr lang="en-US" sz="2400">
                <a:solidFill>
                  <a:sysClr val="windowText" lastClr="000000"/>
                </a:solidFill>
                <a:latin typeface="Segoe UI Black" pitchFamily="34" charset="0"/>
                <a:ea typeface="Segoe UI Black" pitchFamily="34" charset="0"/>
              </a:endParaRPr>
            </a:p>
          </xdr:txBody>
        </xdr:sp>
        <xdr:sp macro="" textlink="">
          <xdr:nvSpPr>
            <xdr:cNvPr id="8" name="TextBox 7"/>
            <xdr:cNvSpPr txBox="1"/>
          </xdr:nvSpPr>
          <xdr:spPr>
            <a:xfrm>
              <a:off x="55418" y="487833"/>
              <a:ext cx="2057399" cy="291268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ctr">
              <a:noAutofit/>
            </a:bodyPr>
            <a:lstStyle/>
            <a:p>
              <a:pPr algn="r"/>
              <a:r>
                <a:rPr lang="en-US" sz="1600" baseline="0">
                  <a:latin typeface="Segoe UI Black" pitchFamily="34" charset="0"/>
                  <a:ea typeface="Segoe UI Black" pitchFamily="34" charset="0"/>
                </a:rPr>
                <a:t>TOTAL REVENUE</a:t>
              </a:r>
            </a:p>
          </xdr:txBody>
        </xdr:sp>
      </xdr:grpSp>
      <xdr:pic>
        <xdr:nvPicPr>
          <xdr:cNvPr id="1027" name="Picture 3" descr="C:\Program Files (x86)\Microsoft Office\MEDIA\CAGCAT10\j0251301.wmf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tretch>
            <a:fillRect/>
          </a:stretch>
        </xdr:blipFill>
        <xdr:spPr bwMode="auto">
          <a:xfrm>
            <a:off x="9107720" y="1801911"/>
            <a:ext cx="695352" cy="663386"/>
          </a:xfrm>
          <a:prstGeom prst="rect">
            <a:avLst/>
          </a:prstGeom>
          <a:noFill/>
        </xdr:spPr>
      </xdr:pic>
    </xdr:grpSp>
    <xdr:clientData/>
  </xdr:twoCellAnchor>
  <xdr:twoCellAnchor>
    <xdr:from>
      <xdr:col>4</xdr:col>
      <xdr:colOff>71715</xdr:colOff>
      <xdr:row>2</xdr:row>
      <xdr:rowOff>69770</xdr:rowOff>
    </xdr:from>
    <xdr:to>
      <xdr:col>8</xdr:col>
      <xdr:colOff>116539</xdr:colOff>
      <xdr:row>6</xdr:row>
      <xdr:rowOff>139743</xdr:rowOff>
    </xdr:to>
    <xdr:grpSp>
      <xdr:nvGrpSpPr>
        <xdr:cNvPr id="33" name="Group 32"/>
        <xdr:cNvGrpSpPr/>
      </xdr:nvGrpSpPr>
      <xdr:grpSpPr>
        <a:xfrm>
          <a:off x="2873186" y="831770"/>
          <a:ext cx="2465294" cy="787149"/>
          <a:chOff x="9332259" y="3220074"/>
          <a:chExt cx="2483224" cy="787149"/>
        </a:xfrm>
      </xdr:grpSpPr>
      <xdr:grpSp>
        <xdr:nvGrpSpPr>
          <xdr:cNvPr id="13" name="Group 12"/>
          <xdr:cNvGrpSpPr/>
        </xdr:nvGrpSpPr>
        <xdr:grpSpPr>
          <a:xfrm>
            <a:off x="9332259" y="3220074"/>
            <a:ext cx="2483224" cy="787149"/>
            <a:chOff x="187035" y="2161310"/>
            <a:chExt cx="2092038" cy="671945"/>
          </a:xfrm>
          <a:solidFill>
            <a:srgbClr val="73FF73"/>
          </a:solidFill>
        </xdr:grpSpPr>
        <xdr:sp macro="" textlink="KPI_Calc!B9">
          <xdr:nvSpPr>
            <xdr:cNvPr id="9" name="Rounded Rectangle 8"/>
            <xdr:cNvSpPr/>
          </xdr:nvSpPr>
          <xdr:spPr>
            <a:xfrm>
              <a:off x="189808" y="2172394"/>
              <a:ext cx="2089265" cy="660861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b"/>
            <a:lstStyle/>
            <a:p>
              <a:pPr algn="r"/>
              <a:fld id="{60DB19C8-9C4C-41AC-9134-733D4226DF18}" type="TxLink">
                <a:rPr lang="en-US" sz="2400">
                  <a:solidFill>
                    <a:sysClr val="windowText" lastClr="000000"/>
                  </a:solidFill>
                  <a:latin typeface="Segoe UI Black" pitchFamily="34" charset="0"/>
                  <a:ea typeface="Segoe UI Black" pitchFamily="34" charset="0"/>
                </a:rPr>
                <a:pPr algn="r"/>
                <a:t>₹ 3,67,946</a:t>
              </a:fld>
              <a:endParaRPr lang="en-US" sz="2400">
                <a:solidFill>
                  <a:sysClr val="windowText" lastClr="000000"/>
                </a:solidFill>
                <a:latin typeface="Segoe UI Black" pitchFamily="34" charset="0"/>
                <a:ea typeface="Segoe UI Black" pitchFamily="34" charset="0"/>
              </a:endParaRPr>
            </a:p>
          </xdr:txBody>
        </xdr:sp>
        <xdr:sp macro="" textlink="">
          <xdr:nvSpPr>
            <xdr:cNvPr id="10" name="TextBox 9"/>
            <xdr:cNvSpPr txBox="1"/>
          </xdr:nvSpPr>
          <xdr:spPr>
            <a:xfrm>
              <a:off x="187035" y="2161310"/>
              <a:ext cx="2092037" cy="315387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ctr">
              <a:spAutoFit/>
            </a:bodyPr>
            <a:lstStyle/>
            <a:p>
              <a:pPr algn="r"/>
              <a:r>
                <a:rPr lang="en-US" sz="1600" baseline="0">
                  <a:latin typeface="Segoe UI Black" pitchFamily="34" charset="0"/>
                  <a:ea typeface="Segoe UI Black" pitchFamily="34" charset="0"/>
                </a:rPr>
                <a:t>TOTAL PROFIT</a:t>
              </a:r>
            </a:p>
          </xdr:txBody>
        </xdr:sp>
      </xdr:grpSp>
      <xdr:pic>
        <xdr:nvPicPr>
          <xdr:cNvPr id="32" name="Picture 3" descr="C:\Program Files (x86)\Microsoft Office\MEDIA\CAGCAT10\j0251301.wmf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tretch>
            <a:fillRect/>
          </a:stretch>
        </xdr:blipFill>
        <xdr:spPr bwMode="auto">
          <a:xfrm>
            <a:off x="9437893" y="3273865"/>
            <a:ext cx="663386" cy="663386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12</xdr:col>
      <xdr:colOff>455432</xdr:colOff>
      <xdr:row>2</xdr:row>
      <xdr:rowOff>74066</xdr:rowOff>
    </xdr:from>
    <xdr:to>
      <xdr:col>15</xdr:col>
      <xdr:colOff>301951</xdr:colOff>
      <xdr:row>6</xdr:row>
      <xdr:rowOff>160015</xdr:rowOff>
    </xdr:to>
    <xdr:grpSp>
      <xdr:nvGrpSpPr>
        <xdr:cNvPr id="36" name="Group 35"/>
        <xdr:cNvGrpSpPr/>
      </xdr:nvGrpSpPr>
      <xdr:grpSpPr>
        <a:xfrm>
          <a:off x="8097844" y="836066"/>
          <a:ext cx="1661872" cy="803125"/>
          <a:chOff x="8372655" y="1268418"/>
          <a:chExt cx="1678562" cy="799965"/>
        </a:xfrm>
      </xdr:grpSpPr>
      <xdr:grpSp>
        <xdr:nvGrpSpPr>
          <xdr:cNvPr id="17" name="Group 16"/>
          <xdr:cNvGrpSpPr/>
        </xdr:nvGrpSpPr>
        <xdr:grpSpPr>
          <a:xfrm>
            <a:off x="8372655" y="1268418"/>
            <a:ext cx="1678562" cy="799965"/>
            <a:chOff x="964946" y="3460866"/>
            <a:chExt cx="1461247" cy="660861"/>
          </a:xfrm>
          <a:solidFill>
            <a:sysClr val="window" lastClr="FFFFFF"/>
          </a:solidFill>
        </xdr:grpSpPr>
        <xdr:sp macro="" textlink="KPI_Calc!B15">
          <xdr:nvSpPr>
            <xdr:cNvPr id="18" name="Rounded Rectangle 17"/>
            <xdr:cNvSpPr/>
          </xdr:nvSpPr>
          <xdr:spPr>
            <a:xfrm>
              <a:off x="964946" y="3460866"/>
              <a:ext cx="1461247" cy="660861"/>
            </a:xfrm>
            <a:prstGeom prst="rect">
              <a:avLst/>
            </a:prstGeom>
            <a:grp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b"/>
            <a:lstStyle/>
            <a:p>
              <a:pPr algn="r"/>
              <a:fld id="{3B648281-B974-4A36-ABE8-A1BF061800B4}" type="TxLink">
                <a:rPr lang="en-US" sz="2400">
                  <a:solidFill>
                    <a:sysClr val="windowText" lastClr="000000"/>
                  </a:solidFill>
                  <a:latin typeface="Segoe UI Black" pitchFamily="34" charset="0"/>
                  <a:ea typeface="Segoe UI Black" pitchFamily="34" charset="0"/>
                </a:rPr>
                <a:pPr algn="r"/>
                <a:t>371</a:t>
              </a:fld>
              <a:endParaRPr lang="en-US" sz="2400">
                <a:solidFill>
                  <a:sysClr val="windowText" lastClr="000000"/>
                </a:solidFill>
                <a:latin typeface="Segoe UI Black" pitchFamily="34" charset="0"/>
                <a:ea typeface="Segoe UI Black" pitchFamily="34" charset="0"/>
              </a:endParaRPr>
            </a:p>
          </xdr:txBody>
        </xdr:sp>
        <xdr:sp macro="" textlink="">
          <xdr:nvSpPr>
            <xdr:cNvPr id="19" name="TextBox 18"/>
            <xdr:cNvSpPr txBox="1"/>
          </xdr:nvSpPr>
          <xdr:spPr>
            <a:xfrm>
              <a:off x="964946" y="3467633"/>
              <a:ext cx="1452282" cy="284338"/>
            </a:xfrm>
            <a:prstGeom prst="rect">
              <a:avLst/>
            </a:prstGeom>
            <a:grp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ctr">
              <a:spAutoFit/>
            </a:bodyPr>
            <a:lstStyle/>
            <a:p>
              <a:pPr algn="r"/>
              <a:r>
                <a:rPr lang="en-US" sz="1400" baseline="0">
                  <a:latin typeface="Segoe UI Black" pitchFamily="34" charset="0"/>
                  <a:ea typeface="Segoe UI Black" pitchFamily="34" charset="0"/>
                </a:rPr>
                <a:t>ORDERS</a:t>
              </a:r>
            </a:p>
          </xdr:txBody>
        </xdr:sp>
      </xdr:grpSp>
      <xdr:pic>
        <xdr:nvPicPr>
          <xdr:cNvPr id="34" name="Picture 3" descr="C:\Program Files (x86)\Microsoft Office\MEDIA\CAGCAT10\j0251301.wmf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tretch>
            <a:fillRect/>
          </a:stretch>
        </xdr:blipFill>
        <xdr:spPr bwMode="auto">
          <a:xfrm>
            <a:off x="8448658" y="1308782"/>
            <a:ext cx="669926" cy="681188"/>
          </a:xfrm>
          <a:prstGeom prst="rect">
            <a:avLst/>
          </a:prstGeom>
          <a:noFill/>
        </xdr:spPr>
      </xdr:pic>
    </xdr:grpSp>
    <xdr:clientData/>
  </xdr:twoCellAnchor>
  <xdr:twoCellAnchor>
    <xdr:from>
      <xdr:col>24</xdr:col>
      <xdr:colOff>392206</xdr:colOff>
      <xdr:row>2</xdr:row>
      <xdr:rowOff>67234</xdr:rowOff>
    </xdr:from>
    <xdr:to>
      <xdr:col>30</xdr:col>
      <xdr:colOff>221876</xdr:colOff>
      <xdr:row>26</xdr:row>
      <xdr:rowOff>33616</xdr:rowOff>
    </xdr:to>
    <xdr:grpSp>
      <xdr:nvGrpSpPr>
        <xdr:cNvPr id="40" name="Group 39"/>
        <xdr:cNvGrpSpPr/>
      </xdr:nvGrpSpPr>
      <xdr:grpSpPr>
        <a:xfrm>
          <a:off x="16427824" y="829234"/>
          <a:ext cx="4457699" cy="4269441"/>
          <a:chOff x="9179860" y="5821940"/>
          <a:chExt cx="4394627" cy="3637745"/>
        </a:xfrm>
      </xdr:grpSpPr>
      <xdr:graphicFrame macro="">
        <xdr:nvGraphicFramePr>
          <xdr:cNvPr id="27" name="Chart 26"/>
          <xdr:cNvGraphicFramePr/>
        </xdr:nvGraphicFramePr>
        <xdr:xfrm>
          <a:off x="9179860" y="5821940"/>
          <a:ext cx="4394627" cy="36377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38" name="TextBox 37"/>
          <xdr:cNvSpPr txBox="1"/>
        </xdr:nvSpPr>
        <xdr:spPr>
          <a:xfrm>
            <a:off x="10842172" y="7445829"/>
            <a:ext cx="1091196" cy="7850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2000">
                <a:latin typeface="Segoe UI Black" pitchFamily="34" charset="0"/>
                <a:ea typeface="Segoe UI Black" pitchFamily="34" charset="0"/>
              </a:rPr>
              <a:t>TOTAL</a:t>
            </a:r>
          </a:p>
          <a:p>
            <a:r>
              <a:rPr lang="en-US" sz="2000">
                <a:latin typeface="Segoe UI Black" pitchFamily="34" charset="0"/>
                <a:ea typeface="Segoe UI Black" pitchFamily="34" charset="0"/>
              </a:rPr>
              <a:t>₹ 25.7L</a:t>
            </a:r>
          </a:p>
        </xdr:txBody>
      </xdr:sp>
    </xdr:grpSp>
    <xdr:clientData/>
  </xdr:twoCellAnchor>
  <xdr:twoCellAnchor>
    <xdr:from>
      <xdr:col>19</xdr:col>
      <xdr:colOff>22411</xdr:colOff>
      <xdr:row>2</xdr:row>
      <xdr:rowOff>67235</xdr:rowOff>
    </xdr:from>
    <xdr:to>
      <xdr:col>24</xdr:col>
      <xdr:colOff>291353</xdr:colOff>
      <xdr:row>27</xdr:row>
      <xdr:rowOff>121349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251012</xdr:colOff>
      <xdr:row>32</xdr:row>
      <xdr:rowOff>116039</xdr:rowOff>
    </xdr:from>
    <xdr:to>
      <xdr:col>4</xdr:col>
      <xdr:colOff>546850</xdr:colOff>
      <xdr:row>34</xdr:row>
      <xdr:rowOff>36536</xdr:rowOff>
    </xdr:to>
    <xdr:pic>
      <xdr:nvPicPr>
        <xdr:cNvPr id="44" name="Picture 3" descr="C:\Program Files (x86)\Microsoft Office\MEDIA\CAGCAT10\j0251301.wmf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 bwMode="auto">
        <a:xfrm>
          <a:off x="3056965" y="6256863"/>
          <a:ext cx="295838" cy="27908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0.25628</cdr:x>
      <cdr:y>0.10654</cdr:y>
    </cdr:from>
    <cdr:to>
      <cdr:x>0.60804</cdr:x>
      <cdr:y>0.28571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43002" y="493058"/>
          <a:ext cx="1568822" cy="829236"/>
        </a:xfrm>
        <a:prstGeom xmlns:a="http://schemas.openxmlformats.org/drawingml/2006/main" prst="wedgeRoundRectCallout">
          <a:avLst>
            <a:gd name="adj1" fmla="val 68453"/>
            <a:gd name="adj2" fmla="val 21960"/>
            <a:gd name="adj3" fmla="val 16667"/>
          </a:avLst>
        </a:prstGeom>
        <a:solidFill xmlns:a="http://schemas.openxmlformats.org/drawingml/2006/main">
          <a:schemeClr val="bg1">
            <a:lumMod val="95000"/>
          </a:schemeClr>
        </a:solidFill>
        <a:ln xmlns:a="http://schemas.openxmlformats.org/drawingml/2006/main">
          <a:noFill/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txBody>
        <a:bodyPr xmlns:a="http://schemas.openxmlformats.org/drawingml/2006/main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400" b="0">
              <a:latin typeface="Segoe UI Black" pitchFamily="34" charset="0"/>
              <a:ea typeface="Segoe UI Black" pitchFamily="34" charset="0"/>
            </a:rPr>
            <a:t>Non</a:t>
          </a:r>
          <a:r>
            <a:rPr lang="en-US" sz="1400" b="0" baseline="0">
              <a:latin typeface="Segoe UI Black" pitchFamily="34" charset="0"/>
              <a:ea typeface="Segoe UI Black" pitchFamily="34" charset="0"/>
            </a:rPr>
            <a:t> Discounted</a:t>
          </a:r>
        </a:p>
        <a:p xmlns:a="http://schemas.openxmlformats.org/drawingml/2006/main">
          <a:pPr algn="ctr"/>
          <a:r>
            <a:rPr lang="en-US" sz="1400" b="0" baseline="0">
              <a:latin typeface="Segoe UI Black" pitchFamily="34" charset="0"/>
              <a:ea typeface="Segoe UI Black" pitchFamily="34" charset="0"/>
            </a:rPr>
            <a:t>orders yield</a:t>
          </a:r>
        </a:p>
        <a:p xmlns:a="http://schemas.openxmlformats.org/drawingml/2006/main">
          <a:pPr algn="ctr"/>
          <a:r>
            <a:rPr lang="en-US" sz="1400" b="0" baseline="0">
              <a:latin typeface="Segoe UI Black" pitchFamily="34" charset="0"/>
              <a:ea typeface="Segoe UI Black" pitchFamily="34" charset="0"/>
            </a:rPr>
            <a:t>~2.5× profit</a:t>
          </a:r>
          <a:endParaRPr lang="en-US" sz="1400" b="0">
            <a:latin typeface="Segoe UI Black" pitchFamily="34" charset="0"/>
            <a:ea typeface="Segoe UI Black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0.30309</cdr:x>
      <cdr:y>0.16839</cdr:y>
    </cdr:from>
    <cdr:to>
      <cdr:x>0.57432</cdr:x>
      <cdr:y>0.25648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00723" y="728385"/>
          <a:ext cx="2595756" cy="380998"/>
        </a:xfrm>
        <a:prstGeom xmlns:a="http://schemas.openxmlformats.org/drawingml/2006/main" prst="wedgeRoundRectCallout">
          <a:avLst>
            <a:gd name="adj1" fmla="val 56318"/>
            <a:gd name="adj2" fmla="val 27842"/>
            <a:gd name="adj3" fmla="val 16667"/>
          </a:avLst>
        </a:prstGeom>
        <a:solidFill xmlns:a="http://schemas.openxmlformats.org/drawingml/2006/main">
          <a:sysClr val="window" lastClr="FFFFFF">
            <a:lumMod val="95000"/>
          </a:sysClr>
        </a:solidFill>
        <a:ln xmlns:a="http://schemas.openxmlformats.org/drawingml/2006/main">
          <a:noFill/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200" b="0">
              <a:latin typeface="Segoe UI Black" pitchFamily="34" charset="0"/>
              <a:ea typeface="Segoe UI Black" pitchFamily="34" charset="0"/>
            </a:rPr>
            <a:t>Highest</a:t>
          </a:r>
          <a:r>
            <a:rPr lang="en-US" sz="1200" b="0" baseline="0">
              <a:latin typeface="Segoe UI Black" pitchFamily="34" charset="0"/>
              <a:ea typeface="Segoe UI Black" pitchFamily="34" charset="0"/>
            </a:rPr>
            <a:t> Recorded Revenue</a:t>
          </a:r>
          <a:endParaRPr lang="en-US" sz="1200" b="0">
            <a:latin typeface="Segoe UI Black" pitchFamily="34" charset="0"/>
            <a:ea typeface="Segoe UI Black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0.47365</cdr:x>
      <cdr:y>0.09881</cdr:y>
    </cdr:from>
    <cdr:to>
      <cdr:x>0.8557</cdr:x>
      <cdr:y>0.18032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096509" y="448234"/>
          <a:ext cx="1691079" cy="369795"/>
        </a:xfrm>
        <a:prstGeom xmlns:a="http://schemas.openxmlformats.org/drawingml/2006/main" prst="wedgeRoundRectCallout">
          <a:avLst>
            <a:gd name="adj1" fmla="val -66578"/>
            <a:gd name="adj2" fmla="val 53389"/>
            <a:gd name="adj3" fmla="val 16667"/>
          </a:avLst>
        </a:prstGeom>
        <a:solidFill xmlns:a="http://schemas.openxmlformats.org/drawingml/2006/main">
          <a:sysClr val="window" lastClr="FFFFFF">
            <a:lumMod val="95000"/>
          </a:sysClr>
        </a:solidFill>
        <a:ln xmlns:a="http://schemas.openxmlformats.org/drawingml/2006/main">
          <a:noFill/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1400" b="0">
              <a:latin typeface="Segoe UI Black" pitchFamily="34" charset="0"/>
              <a:ea typeface="Segoe UI Black" pitchFamily="34" charset="0"/>
            </a:rPr>
            <a:t>Top Revenue City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41.985240972223" createdVersion="3" refreshedVersion="3" minRefreshableVersion="3" recordCount="371">
  <cacheSource type="worksheet">
    <worksheetSource name="Table1"/>
  </cacheSource>
  <cacheFields count="13">
    <cacheField name="Order_ID" numFmtId="0">
      <sharedItems containsSemiMixedTypes="0" containsString="0" containsNumber="1" containsInteger="1" minValue="1002" maxValue="3498" count="371">
        <n v="1002"/>
        <n v="1003"/>
        <n v="1006"/>
        <n v="1025"/>
        <n v="1030"/>
        <n v="1036"/>
        <n v="1038"/>
        <n v="1050"/>
        <n v="1066"/>
        <n v="1090"/>
        <n v="1100"/>
        <n v="1103"/>
        <n v="1104"/>
        <n v="1114"/>
        <n v="1123"/>
        <n v="1127"/>
        <n v="1129"/>
        <n v="1135"/>
        <n v="1142"/>
        <n v="1145"/>
        <n v="1151"/>
        <n v="1153"/>
        <n v="1157"/>
        <n v="1172"/>
        <n v="1174"/>
        <n v="1183"/>
        <n v="1188"/>
        <n v="1198"/>
        <n v="1201"/>
        <n v="1212"/>
        <n v="1214"/>
        <n v="1218"/>
        <n v="1232"/>
        <n v="1239"/>
        <n v="1241"/>
        <n v="1251"/>
        <n v="1252"/>
        <n v="1255"/>
        <n v="1258"/>
        <n v="1259"/>
        <n v="1267"/>
        <n v="1275"/>
        <n v="1277"/>
        <n v="1296"/>
        <n v="1299"/>
        <n v="1307"/>
        <n v="1308"/>
        <n v="1315"/>
        <n v="1328"/>
        <n v="1329"/>
        <n v="1334"/>
        <n v="1355"/>
        <n v="1362"/>
        <n v="1376"/>
        <n v="1383"/>
        <n v="1389"/>
        <n v="1031"/>
        <n v="1465"/>
        <n v="1471"/>
        <n v="1475"/>
        <n v="1484"/>
        <n v="1487"/>
        <n v="1496"/>
        <n v="1498"/>
        <n v="1503"/>
        <n v="1504"/>
        <n v="1515"/>
        <n v="1519"/>
        <n v="1525"/>
        <n v="1526"/>
        <n v="1570"/>
        <n v="1576"/>
        <n v="1582"/>
        <n v="1585"/>
        <n v="1596"/>
        <n v="1597"/>
        <n v="1608"/>
        <n v="1612"/>
        <n v="1613"/>
        <n v="1615"/>
        <n v="1621"/>
        <n v="1004"/>
        <n v="1628"/>
        <n v="1645"/>
        <n v="1655"/>
        <n v="1048"/>
        <n v="1679"/>
        <n v="1684"/>
        <n v="1690"/>
        <n v="1691"/>
        <n v="1697"/>
        <n v="1699"/>
        <n v="1705"/>
        <n v="1709"/>
        <n v="1712"/>
        <n v="1717"/>
        <n v="1718"/>
        <n v="1719"/>
        <n v="1720"/>
        <n v="1725"/>
        <n v="1728"/>
        <n v="1732"/>
        <n v="1733"/>
        <n v="1739"/>
        <n v="1741"/>
        <n v="1760"/>
        <n v="1029"/>
        <n v="1765"/>
        <n v="1768"/>
        <n v="1771"/>
        <n v="1774"/>
        <n v="1778"/>
        <n v="1784"/>
        <n v="1785"/>
        <n v="1014"/>
        <n v="1790"/>
        <n v="1793"/>
        <n v="1807"/>
        <n v="1816"/>
        <n v="1820"/>
        <n v="1846"/>
        <n v="1851"/>
        <n v="1853"/>
        <n v="1855"/>
        <n v="1856"/>
        <n v="1859"/>
        <n v="1864"/>
        <n v="1865"/>
        <n v="1866"/>
        <n v="1874"/>
        <n v="1880"/>
        <n v="1881"/>
        <n v="1894"/>
        <n v="1898"/>
        <n v="1904"/>
        <n v="1909"/>
        <n v="1911"/>
        <n v="1914"/>
        <n v="1926"/>
        <n v="1936"/>
        <n v="1937"/>
        <n v="1951"/>
        <n v="1954"/>
        <n v="1955"/>
        <n v="1960"/>
        <n v="1979"/>
        <n v="1980"/>
        <n v="1990"/>
        <n v="1994"/>
        <n v="1998"/>
        <n v="2000"/>
        <n v="2010"/>
        <n v="2011"/>
        <n v="2016"/>
        <n v="2019"/>
        <n v="2020"/>
        <n v="2024"/>
        <n v="2027"/>
        <n v="2030"/>
        <n v="2034"/>
        <n v="2037"/>
        <n v="2051"/>
        <n v="2052"/>
        <n v="2059"/>
        <n v="2062"/>
        <n v="2065"/>
        <n v="2084"/>
        <n v="2100"/>
        <n v="2105"/>
        <n v="2106"/>
        <n v="2118"/>
        <n v="2121"/>
        <n v="2143"/>
        <n v="2144"/>
        <n v="2176"/>
        <n v="2190"/>
        <n v="2214"/>
        <n v="2219"/>
        <n v="2220"/>
        <n v="2223"/>
        <n v="2233"/>
        <n v="2238"/>
        <n v="2242"/>
        <n v="2252"/>
        <n v="2255"/>
        <n v="2259"/>
        <n v="2270"/>
        <n v="2272"/>
        <n v="2273"/>
        <n v="2279"/>
        <n v="2290"/>
        <n v="2313"/>
        <n v="2316"/>
        <n v="2331"/>
        <n v="2335"/>
        <n v="2338"/>
        <n v="2339"/>
        <n v="2345"/>
        <n v="2346"/>
        <n v="2350"/>
        <n v="2357"/>
        <n v="2363"/>
        <n v="2366"/>
        <n v="2367"/>
        <n v="2371"/>
        <n v="2377"/>
        <n v="2379"/>
        <n v="2384"/>
        <n v="2392"/>
        <n v="2393"/>
        <n v="2399"/>
        <n v="2401"/>
        <n v="2419"/>
        <n v="2421"/>
        <n v="2424"/>
        <n v="2427"/>
        <n v="2429"/>
        <n v="2443"/>
        <n v="2447"/>
        <n v="2450"/>
        <n v="2460"/>
        <n v="2461"/>
        <n v="2462"/>
        <n v="2490"/>
        <n v="2497"/>
        <n v="2498"/>
        <n v="2499"/>
        <n v="2505"/>
        <n v="2516"/>
        <n v="2518"/>
        <n v="2522"/>
        <n v="2531"/>
        <n v="2543"/>
        <n v="2546"/>
        <n v="2549"/>
        <n v="2550"/>
        <n v="2566"/>
        <n v="1013"/>
        <n v="2571"/>
        <n v="2575"/>
        <n v="2577"/>
        <n v="2600"/>
        <n v="2604"/>
        <n v="2605"/>
        <n v="2610"/>
        <n v="2631"/>
        <n v="2636"/>
        <n v="2638"/>
        <n v="2640"/>
        <n v="2642"/>
        <n v="2649"/>
        <n v="2662"/>
        <n v="2663"/>
        <n v="2681"/>
        <n v="2689"/>
        <n v="2701"/>
        <n v="2708"/>
        <n v="2718"/>
        <n v="2731"/>
        <n v="2739"/>
        <n v="2745"/>
        <n v="2747"/>
        <n v="2748"/>
        <n v="2757"/>
        <n v="2788"/>
        <n v="2790"/>
        <n v="2793"/>
        <n v="2797"/>
        <n v="2803"/>
        <n v="2804"/>
        <n v="2820"/>
        <n v="2822"/>
        <n v="2834"/>
        <n v="2836"/>
        <n v="2846"/>
        <n v="2858"/>
        <n v="2864"/>
        <n v="2868"/>
        <n v="2870"/>
        <n v="2873"/>
        <n v="2876"/>
        <n v="2882"/>
        <n v="2885"/>
        <n v="2890"/>
        <n v="2897"/>
        <n v="2899"/>
        <n v="2901"/>
        <n v="2902"/>
        <n v="2904"/>
        <n v="2919"/>
        <n v="2926"/>
        <n v="2944"/>
        <n v="2948"/>
        <n v="2952"/>
        <n v="2971"/>
        <n v="2974"/>
        <n v="2982"/>
        <n v="2984"/>
        <n v="2989"/>
        <n v="3001"/>
        <n v="3004"/>
        <n v="3007"/>
        <n v="3022"/>
        <n v="3052"/>
        <n v="3059"/>
        <n v="3061"/>
        <n v="3065"/>
        <n v="3089"/>
        <n v="3090"/>
        <n v="3093"/>
        <n v="3096"/>
        <n v="3113"/>
        <n v="3125"/>
        <n v="3133"/>
        <n v="3142"/>
        <n v="3152"/>
        <n v="1047"/>
        <n v="3157"/>
        <n v="3160"/>
        <n v="3168"/>
        <n v="3172"/>
        <n v="3175"/>
        <n v="3179"/>
        <n v="3180"/>
        <n v="3187"/>
        <n v="3192"/>
        <n v="3208"/>
        <n v="3224"/>
        <n v="3239"/>
        <n v="3253"/>
        <n v="3255"/>
        <n v="1024"/>
        <n v="3263"/>
        <n v="3265"/>
        <n v="3267"/>
        <n v="3272"/>
        <n v="3274"/>
        <n v="3282"/>
        <n v="3294"/>
        <n v="3298"/>
        <n v="3299"/>
        <n v="3301"/>
        <n v="3309"/>
        <n v="3311"/>
        <n v="3312"/>
        <n v="3321"/>
        <n v="3326"/>
        <n v="3328"/>
        <n v="3330"/>
        <n v="1018"/>
        <n v="3340"/>
        <n v="3346"/>
        <n v="3356"/>
        <n v="3366"/>
        <n v="3380"/>
        <n v="3384"/>
        <n v="3396"/>
        <n v="3399"/>
        <n v="3424"/>
        <n v="3425"/>
        <n v="3434"/>
        <n v="3439"/>
        <n v="3445"/>
        <n v="3446"/>
        <n v="3447"/>
        <n v="3449"/>
        <n v="3451"/>
        <n v="3454"/>
        <n v="3487"/>
        <n v="3493"/>
        <n v="3498"/>
      </sharedItems>
    </cacheField>
    <cacheField name="Customer_Name" numFmtId="0">
      <sharedItems/>
    </cacheField>
    <cacheField name="Product_Category" numFmtId="0">
      <sharedItems count="6">
        <s v="Jackets"/>
        <s v="Shoes"/>
        <s v="Jeans"/>
        <s v="Dresses"/>
        <s v="T-Shirts"/>
        <s v="Accessories"/>
      </sharedItems>
    </cacheField>
    <cacheField name="Product_Name" numFmtId="0">
      <sharedItems count="24">
        <s v="Puffer Coat"/>
        <s v="Loafers"/>
        <s v="Boyfriend Jeans"/>
        <s v="Straight Cut"/>
        <s v="Maxi Dress"/>
        <s v="Graphic Tee"/>
        <s v="Crop Top"/>
        <s v="Slim Fit Jeans"/>
        <s v="Slip-ons"/>
        <s v="Boots"/>
        <s v="Bodycon"/>
        <s v="Caps"/>
        <s v="Sneakers"/>
        <s v="Belts"/>
        <s v="Ripped Denim"/>
        <s v="Leather Jacket"/>
        <s v="Watches"/>
        <s v="Sunglasses"/>
        <s v="Bomber Jacket"/>
        <s v="Wrap Dress"/>
        <s v="Casual Midi"/>
        <s v="Classic Tee"/>
        <s v="Denim Jacket"/>
        <s v="Oversized T-shirt"/>
      </sharedItems>
    </cacheField>
    <cacheField name="Units_Sold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minValue="400.21" maxValue="4984.6499999999996"/>
    </cacheField>
    <cacheField name="Discount_%" numFmtId="0">
      <sharedItems containsSemiMixedTypes="0" containsString="0" containsNumber="1" minValue="0" maxValue="0.99" count="62">
        <n v="0"/>
        <n v="0.2"/>
        <n v="7.0000000000000007E-2"/>
        <n v="0.23"/>
        <n v="0.84"/>
        <n v="0.94"/>
        <n v="0.33"/>
        <n v="0.42"/>
        <n v="0.12"/>
        <n v="0.6"/>
        <n v="0.88"/>
        <n v="0.56999999999999995"/>
        <n v="0.56000000000000005"/>
        <n v="0.18"/>
        <n v="0.96"/>
        <n v="0.71"/>
        <n v="0.32"/>
        <n v="0.92"/>
        <n v="0.89"/>
        <n v="0.77"/>
        <n v="0.79"/>
        <n v="0.02"/>
        <n v="0.26"/>
        <n v="0.22"/>
        <n v="0.54"/>
        <n v="0.27"/>
        <n v="0.64"/>
        <n v="0.98"/>
        <n v="0.85"/>
        <n v="0.9"/>
        <n v="0.11"/>
        <n v="0.35"/>
        <n v="0.67"/>
        <n v="0.91"/>
        <n v="0.3"/>
        <n v="0.17"/>
        <n v="0.19"/>
        <n v="0.82"/>
        <n v="0.57999999999999996"/>
        <n v="0.81"/>
        <n v="0.14000000000000001"/>
        <n v="0.69"/>
        <n v="0.62"/>
        <n v="0.86"/>
        <n v="0.1"/>
        <n v="0.41"/>
        <n v="0.16"/>
        <n v="0.06"/>
        <n v="0.36"/>
        <n v="0.83"/>
        <n v="0.74"/>
        <n v="0.44"/>
        <n v="0.21"/>
        <n v="0.37"/>
        <n v="0.01"/>
        <n v="0.48"/>
        <n v="0.28000000000000003"/>
        <n v="0.99"/>
        <n v="0.7"/>
        <n v="0.15"/>
        <n v="0.51"/>
        <n v="0.49"/>
      </sharedItems>
    </cacheField>
    <cacheField name="Sales_Amount" numFmtId="0">
      <sharedItems containsSemiMixedTypes="0" containsString="0" containsNumber="1" minValue="35.25" maxValue="29860.86"/>
    </cacheField>
    <cacheField name="Order_Date" numFmtId="14">
      <sharedItems containsSemiMixedTypes="0" containsNonDate="0" containsDate="1" containsString="0" minDate="2023-07-25T00:00:00" maxDate="2025-07-19T00:00:00" count="268">
        <d v="2025-01-02T00:00:00"/>
        <d v="2025-06-18T00:00:00"/>
        <d v="2024-04-02T00:00:00"/>
        <d v="2025-07-18T00:00:00"/>
        <d v="2023-09-03T00:00:00"/>
        <d v="2024-04-06T00:00:00"/>
        <d v="2024-01-20T00:00:00"/>
        <d v="2025-07-08T00:00:00"/>
        <d v="2025-01-15T00:00:00"/>
        <d v="2024-11-09T00:00:00"/>
        <d v="2024-12-30T00:00:00"/>
        <d v="2025-06-11T00:00:00"/>
        <d v="2024-06-11T00:00:00"/>
        <d v="2025-02-18T00:00:00"/>
        <d v="2024-04-11T00:00:00"/>
        <d v="2024-08-07T00:00:00"/>
        <d v="2025-06-27T00:00:00"/>
        <d v="2024-10-23T00:00:00"/>
        <d v="2024-02-22T00:00:00"/>
        <d v="2024-11-06T00:00:00"/>
        <d v="2025-07-17T00:00:00"/>
        <d v="2024-12-15T00:00:00"/>
        <d v="2025-06-25T00:00:00"/>
        <d v="2025-05-02T00:00:00"/>
        <d v="2024-12-23T00:00:00"/>
        <d v="2024-03-27T00:00:00"/>
        <d v="2024-08-27T00:00:00"/>
        <d v="2025-04-17T00:00:00"/>
        <d v="2025-01-10T00:00:00"/>
        <d v="2024-10-17T00:00:00"/>
        <d v="2025-03-31T00:00:00"/>
        <d v="2023-09-14T00:00:00"/>
        <d v="2024-10-20T00:00:00"/>
        <d v="2024-06-22T00:00:00"/>
        <d v="2025-02-04T00:00:00"/>
        <d v="2025-04-02T00:00:00"/>
        <d v="2024-12-06T00:00:00"/>
        <d v="2025-03-12T00:00:00"/>
        <d v="2025-05-05T00:00:00"/>
        <d v="2023-11-16T00:00:00"/>
        <d v="2024-02-26T00:00:00"/>
        <d v="2024-09-05T00:00:00"/>
        <d v="2025-03-26T00:00:00"/>
        <d v="2024-10-26T00:00:00"/>
        <d v="2024-08-08T00:00:00"/>
        <d v="2025-04-08T00:00:00"/>
        <d v="2024-06-30T00:00:00"/>
        <d v="2025-05-27T00:00:00"/>
        <d v="2023-12-25T00:00:00"/>
        <d v="2025-06-06T00:00:00"/>
        <d v="2024-12-07T00:00:00"/>
        <d v="2024-07-27T00:00:00"/>
        <d v="2025-07-03T00:00:00"/>
        <d v="2023-07-25T00:00:00"/>
        <d v="2023-12-03T00:00:00"/>
        <d v="2025-02-20T00:00:00"/>
        <d v="2023-08-21T00:00:00"/>
        <d v="2024-11-11T00:00:00"/>
        <d v="2023-12-29T00:00:00"/>
        <d v="2024-03-15T00:00:00"/>
        <d v="2024-12-29T00:00:00"/>
        <d v="2024-10-01T00:00:00"/>
        <d v="2025-05-18T00:00:00"/>
        <d v="2024-11-08T00:00:00"/>
        <d v="2025-07-01T00:00:00"/>
        <d v="2025-01-03T00:00:00"/>
        <d v="2024-10-11T00:00:00"/>
        <d v="2025-01-05T00:00:00"/>
        <d v="2024-09-28T00:00:00"/>
        <d v="2024-09-23T00:00:00"/>
        <d v="2024-08-04T00:00:00"/>
        <d v="2025-02-26T00:00:00"/>
        <d v="2025-01-08T00:00:00"/>
        <d v="2023-08-04T00:00:00"/>
        <d v="2024-04-15T00:00:00"/>
        <d v="2023-10-08T00:00:00"/>
        <d v="2025-06-01T00:00:00"/>
        <d v="2024-11-14T00:00:00"/>
        <d v="2024-07-21T00:00:00"/>
        <d v="2024-08-05T00:00:00"/>
        <d v="2025-03-04T00:00:00"/>
        <d v="2025-04-18T00:00:00"/>
        <d v="2025-02-12T00:00:00"/>
        <d v="2025-02-09T00:00:00"/>
        <d v="2025-05-12T00:00:00"/>
        <d v="2024-08-14T00:00:00"/>
        <d v="2024-11-15T00:00:00"/>
        <d v="2025-05-25T00:00:00"/>
        <d v="2025-03-15T00:00:00"/>
        <d v="2023-07-31T00:00:00"/>
        <d v="2024-08-13T00:00:00"/>
        <d v="2025-01-25T00:00:00"/>
        <d v="2023-11-06T00:00:00"/>
        <d v="2025-01-29T00:00:00"/>
        <d v="2025-01-01T00:00:00"/>
        <d v="2024-01-13T00:00:00"/>
        <d v="2025-01-06T00:00:00"/>
        <d v="2025-06-17T00:00:00"/>
        <d v="2025-02-21T00:00:00"/>
        <d v="2023-07-26T00:00:00"/>
        <d v="2025-01-07T00:00:00"/>
        <d v="2025-04-30T00:00:00"/>
        <d v="2024-10-04T00:00:00"/>
        <d v="2024-10-08T00:00:00"/>
        <d v="2024-11-13T00:00:00"/>
        <d v="2025-05-16T00:00:00"/>
        <d v="2024-08-21T00:00:00"/>
        <d v="2025-06-03T00:00:00"/>
        <d v="2023-07-28T00:00:00"/>
        <d v="2025-01-26T00:00:00"/>
        <d v="2024-12-11T00:00:00"/>
        <d v="2023-09-15T00:00:00"/>
        <d v="2025-02-03T00:00:00"/>
        <d v="2025-05-08T00:00:00"/>
        <d v="2025-04-10T00:00:00"/>
        <d v="2024-02-20T00:00:00"/>
        <d v="2024-04-19T00:00:00"/>
        <d v="2025-04-23T00:00:00"/>
        <d v="2024-10-10T00:00:00"/>
        <d v="2025-06-28T00:00:00"/>
        <d v="2023-08-22T00:00:00"/>
        <d v="2024-12-17T00:00:00"/>
        <d v="2025-07-13T00:00:00"/>
        <d v="2025-05-22T00:00:00"/>
        <d v="2024-08-17T00:00:00"/>
        <d v="2025-07-10T00:00:00"/>
        <d v="2024-10-05T00:00:00"/>
        <d v="2025-05-26T00:00:00"/>
        <d v="2025-01-11T00:00:00"/>
        <d v="2024-11-16T00:00:00"/>
        <d v="2025-06-13T00:00:00"/>
        <d v="2025-04-27T00:00:00"/>
        <d v="2024-07-26T00:00:00"/>
        <d v="2023-10-04T00:00:00"/>
        <d v="2024-08-16T00:00:00"/>
        <d v="2025-05-09T00:00:00"/>
        <d v="2025-01-23T00:00:00"/>
        <d v="2025-05-11T00:00:00"/>
        <d v="2023-12-14T00:00:00"/>
        <d v="2025-01-04T00:00:00"/>
        <d v="2025-06-23T00:00:00"/>
        <d v="2025-07-11T00:00:00"/>
        <d v="2025-02-28T00:00:00"/>
        <d v="2024-05-31T00:00:00"/>
        <d v="2025-03-07T00:00:00"/>
        <d v="2024-07-29T00:00:00"/>
        <d v="2024-08-22T00:00:00"/>
        <d v="2025-04-03T00:00:00"/>
        <d v="2025-04-07T00:00:00"/>
        <d v="2024-04-22T00:00:00"/>
        <d v="2025-04-20T00:00:00"/>
        <d v="2024-03-12T00:00:00"/>
        <d v="2025-07-14T00:00:00"/>
        <d v="2024-10-12T00:00:00"/>
        <d v="2025-06-02T00:00:00"/>
        <d v="2024-12-28T00:00:00"/>
        <d v="2025-07-16T00:00:00"/>
        <d v="2025-03-28T00:00:00"/>
        <d v="2024-11-17T00:00:00"/>
        <d v="2025-05-06T00:00:00"/>
        <d v="2024-10-06T00:00:00"/>
        <d v="2024-10-07T00:00:00"/>
        <d v="2024-08-23T00:00:00"/>
        <d v="2025-03-08T00:00:00"/>
        <d v="2024-04-28T00:00:00"/>
        <d v="2025-05-04T00:00:00"/>
        <d v="2024-10-21T00:00:00"/>
        <d v="2025-02-11T00:00:00"/>
        <d v="2024-10-30T00:00:00"/>
        <d v="2024-12-19T00:00:00"/>
        <d v="2023-09-23T00:00:00"/>
        <d v="2024-12-02T00:00:00"/>
        <d v="2024-06-29T00:00:00"/>
        <d v="2024-12-22T00:00:00"/>
        <d v="2024-10-09T00:00:00"/>
        <d v="2024-02-21T00:00:00"/>
        <d v="2025-03-20T00:00:00"/>
        <d v="2024-11-19T00:00:00"/>
        <d v="2025-01-09T00:00:00"/>
        <d v="2024-09-17T00:00:00"/>
        <d v="2024-08-12T00:00:00"/>
        <d v="2023-12-19T00:00:00"/>
        <d v="2024-09-26T00:00:00"/>
        <d v="2024-09-27T00:00:00"/>
        <d v="2023-09-25T00:00:00"/>
        <d v="2025-01-28T00:00:00"/>
        <d v="2024-11-28T00:00:00"/>
        <d v="2025-01-13T00:00:00"/>
        <d v="2023-09-07T00:00:00"/>
        <d v="2025-01-20T00:00:00"/>
        <d v="2023-09-02T00:00:00"/>
        <d v="2024-12-12T00:00:00"/>
        <d v="2023-10-22T00:00:00"/>
        <d v="2024-08-09T00:00:00"/>
        <d v="2025-01-17T00:00:00"/>
        <d v="2025-07-05T00:00:00"/>
        <d v="2024-11-01T00:00:00"/>
        <d v="2024-09-20T00:00:00"/>
        <d v="2025-05-29T00:00:00"/>
        <d v="2023-12-23T00:00:00"/>
        <d v="2023-08-13T00:00:00"/>
        <d v="2024-07-31T00:00:00"/>
        <d v="2023-10-24T00:00:00"/>
        <d v="2025-01-12T00:00:00"/>
        <d v="2025-04-05T00:00:00"/>
        <d v="2023-12-08T00:00:00"/>
        <d v="2024-07-24T00:00:00"/>
        <d v="2025-05-19T00:00:00"/>
        <d v="2025-05-17T00:00:00"/>
        <d v="2025-03-19T00:00:00"/>
        <d v="2025-03-16T00:00:00"/>
        <d v="2024-01-03T00:00:00"/>
        <d v="2025-03-09T00:00:00"/>
        <d v="2024-06-05T00:00:00"/>
        <d v="2024-09-25T00:00:00"/>
        <d v="2025-02-07T00:00:00"/>
        <d v="2024-10-15T00:00:00"/>
        <d v="2025-03-24T00:00:00"/>
        <d v="2024-08-02T00:00:00"/>
        <d v="2025-02-13T00:00:00"/>
        <d v="2025-04-29T00:00:00"/>
        <d v="2024-05-01T00:00:00"/>
        <d v="2025-06-16T00:00:00"/>
        <d v="2025-04-28T00:00:00"/>
        <d v="2024-11-03T00:00:00"/>
        <d v="2025-03-06T00:00:00"/>
        <d v="2025-05-21T00:00:00"/>
        <d v="2023-11-23T00:00:00"/>
        <d v="2024-01-29T00:00:00"/>
        <d v="2024-11-05T00:00:00"/>
        <d v="2025-04-04T00:00:00"/>
        <d v="2025-03-10T00:00:00"/>
        <d v="2024-04-21T00:00:00"/>
        <d v="2024-12-20T00:00:00"/>
        <d v="2024-09-02T00:00:00"/>
        <d v="2024-09-13T00:00:00"/>
        <d v="2024-10-03T00:00:00"/>
        <d v="2024-10-29T00:00:00"/>
        <d v="2024-07-28T00:00:00"/>
        <d v="2024-01-19T00:00:00"/>
        <d v="2024-08-15T00:00:00"/>
        <d v="2024-01-30T00:00:00"/>
        <d v="2023-07-29T00:00:00"/>
        <d v="2024-09-19T00:00:00"/>
        <d v="2025-04-22T00:00:00"/>
        <d v="2025-03-11T00:00:00"/>
        <d v="2024-12-04T00:00:00"/>
        <d v="2025-01-21T00:00:00"/>
        <d v="2024-10-22T00:00:00"/>
        <d v="2024-08-30T00:00:00"/>
        <d v="2024-08-24T00:00:00"/>
        <d v="2024-09-15T00:00:00"/>
        <d v="2024-08-03T00:00:00"/>
        <d v="2024-08-10T00:00:00"/>
        <d v="2023-10-02T00:00:00"/>
        <d v="2023-11-24T00:00:00"/>
        <d v="2025-03-17T00:00:00"/>
        <d v="2024-03-09T00:00:00"/>
        <d v="2024-08-28T00:00:00"/>
        <d v="2024-12-25T00:00:00"/>
        <d v="2025-04-01T00:00:00"/>
        <d v="2024-10-14T00:00:00"/>
        <d v="2024-11-04T00:00:00"/>
        <d v="2024-07-11T00:00:00"/>
        <d v="2024-02-19T00:00:00"/>
        <d v="2025-07-02T00:00:00"/>
        <d v="2025-06-19T00:00:00"/>
        <d v="2024-08-31T00:00:00"/>
      </sharedItems>
      <fieldGroup par="12" base="8">
        <rangePr groupBy="months" startDate="2023-07-25T00:00:00" endDate="2025-07-19T00:00:00"/>
        <groupItems count="14">
          <s v="&lt;25-07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07-2025"/>
        </groupItems>
      </fieldGroup>
    </cacheField>
    <cacheField name="City" numFmtId="0">
      <sharedItems count="6">
        <s v="Mumbai"/>
        <s v="Bengaluru"/>
        <s v="Ahmedabad"/>
        <s v="Hyderabad"/>
        <s v="Pune"/>
        <s v="Delhi"/>
      </sharedItems>
    </cacheField>
    <cacheField name="Segment" numFmtId="0">
      <sharedItems count="3">
        <s v="B2B"/>
        <s v="OTHERS"/>
        <s v="B2C"/>
      </sharedItems>
    </cacheField>
    <cacheField name="Net_Profit_Loss" numFmtId="0">
      <sharedItems containsSemiMixedTypes="0" containsString="0" containsNumber="1" minValue="-951.64" maxValue="2997.11" count="371">
        <n v="-158.03"/>
        <n v="2296.5"/>
        <n v="198.36"/>
        <n v="330.82"/>
        <n v="1155.3800000000001"/>
        <n v="1213.95"/>
        <n v="1704.49"/>
        <n v="2904.29"/>
        <n v="-252.78"/>
        <n v="-888.86"/>
        <n v="2493.5"/>
        <n v="1713.47"/>
        <n v="1660.01"/>
        <n v="-689.16"/>
        <n v="1494.78"/>
        <n v="2881.91"/>
        <n v="-668.36"/>
        <n v="1432.84"/>
        <n v="-509.67"/>
        <n v="-171.58"/>
        <n v="-655.45"/>
        <n v="-681.2"/>
        <n v="2724.92"/>
        <n v="655.1"/>
        <n v="2931.32"/>
        <n v="1888.87"/>
        <n v="2089.25"/>
        <n v="2422.27"/>
        <n v="1023.04"/>
        <n v="-656.35"/>
        <n v="1851.89"/>
        <n v="707.56"/>
        <n v="1494.67"/>
        <n v="1097.8800000000001"/>
        <n v="2814.82"/>
        <n v="578.37"/>
        <n v="1484.7"/>
        <n v="-706.09"/>
        <n v="2636.96"/>
        <n v="-830.5"/>
        <n v="650.79999999999995"/>
        <n v="2732.47"/>
        <n v="1255.6600000000001"/>
        <n v="1438.47"/>
        <n v="1178.3699999999999"/>
        <n v="642"/>
        <n v="464.65"/>
        <n v="-279.01"/>
        <n v="2269.54"/>
        <n v="1667.02"/>
        <n v="652.87"/>
        <n v="698.05"/>
        <n v="-499.33"/>
        <n v="175.33"/>
        <n v="127.63"/>
        <n v="1987.46"/>
        <n v="194.31"/>
        <n v="-85.73"/>
        <n v="-605.66999999999996"/>
        <n v="433.87"/>
        <n v="2357.7399999999998"/>
        <n v="-849.81"/>
        <n v="2438.13"/>
        <n v="2442.42"/>
        <n v="1350.48"/>
        <n v="-360.49"/>
        <n v="-866.29"/>
        <n v="2567.73"/>
        <n v="-602.79999999999995"/>
        <n v="1177.57"/>
        <n v="-146.16999999999999"/>
        <n v="2554.79"/>
        <n v="-356.01"/>
        <n v="-709.13"/>
        <n v="-871.38"/>
        <n v="2744.32"/>
        <n v="-55.01"/>
        <n v="2174.98"/>
        <n v="-641.72"/>
        <n v="61.6"/>
        <n v="1599.1"/>
        <n v="-108.36"/>
        <n v="2274.54"/>
        <n v="-825.82"/>
        <n v="1839.94"/>
        <n v="1844.84"/>
        <n v="2518.86"/>
        <n v="1385.75"/>
        <n v="206.95"/>
        <n v="2503.5100000000002"/>
        <n v="2026.97"/>
        <n v="2632.17"/>
        <n v="826.76"/>
        <n v="2264.16"/>
        <n v="1879.59"/>
        <n v="453.7"/>
        <n v="1430.08"/>
        <n v="1150.06"/>
        <n v="459.43"/>
        <n v="1938.72"/>
        <n v="273.12"/>
        <n v="2239.42"/>
        <n v="-936.38"/>
        <n v="-114.6"/>
        <n v="1217.93"/>
        <n v="1495.82"/>
        <n v="2997.11"/>
        <n v="-420.11"/>
        <n v="2960.22"/>
        <n v="-162.02000000000001"/>
        <n v="895.53"/>
        <n v="2059.98"/>
        <n v="-379.91"/>
        <n v="567.89"/>
        <n v="2811.87"/>
        <n v="259.67"/>
        <n v="1275.03"/>
        <n v="362.88"/>
        <n v="-804.96"/>
        <n v="20.89"/>
        <n v="2991.27"/>
        <n v="-29.76"/>
        <n v="2555.84"/>
        <n v="2313.58"/>
        <n v="2855.35"/>
        <n v="1183.93"/>
        <n v="1017.26"/>
        <n v="28.7"/>
        <n v="1335.92"/>
        <n v="-573.97"/>
        <n v="843.81"/>
        <n v="993.92"/>
        <n v="-512.73"/>
        <n v="2977.35"/>
        <n v="554.92999999999995"/>
        <n v="2743.54"/>
        <n v="1901.07"/>
        <n v="-527.32000000000005"/>
        <n v="-490.96"/>
        <n v="1109.21"/>
        <n v="1670.97"/>
        <n v="-634.86"/>
        <n v="2501.64"/>
        <n v="2909.73"/>
        <n v="1179.44"/>
        <n v="250.46"/>
        <n v="2451.9899999999998"/>
        <n v="1184.3599999999999"/>
        <n v="2321.5300000000002"/>
        <n v="-702.7"/>
        <n v="2035.1"/>
        <n v="-194.42"/>
        <n v="999.35"/>
        <n v="317.58"/>
        <n v="2132.08"/>
        <n v="-78.22"/>
        <n v="2488.92"/>
        <n v="-657.03"/>
        <n v="-710.56"/>
        <n v="-678.89"/>
        <n v="-523.32000000000005"/>
        <n v="-911.71"/>
        <n v="1386.13"/>
        <n v="-876.83"/>
        <n v="-644.20000000000005"/>
        <n v="-86.57"/>
        <n v="719.55"/>
        <n v="2294.33"/>
        <n v="375.4"/>
        <n v="552.97"/>
        <n v="836.99"/>
        <n v="959.68"/>
        <n v="2079.0700000000002"/>
        <n v="2348.39"/>
        <n v="2176.54"/>
        <n v="1787.25"/>
        <n v="864.66"/>
        <n v="858.23"/>
        <n v="1689.68"/>
        <n v="2374.1799999999998"/>
        <n v="-627.16999999999996"/>
        <n v="-282.61"/>
        <n v="-96.55"/>
        <n v="613.59"/>
        <n v="2090.38"/>
        <n v="542.9"/>
        <n v="2414.4699999999998"/>
        <n v="733.06"/>
        <n v="1569.81"/>
        <n v="1874.46"/>
        <n v="712.37"/>
        <n v="-899.53"/>
        <n v="1325.56"/>
        <n v="1890.42"/>
        <n v="-309.14999999999998"/>
        <n v="2284.9699999999998"/>
        <n v="555.48"/>
        <n v="1317.75"/>
        <n v="-712.37"/>
        <n v="-165.49"/>
        <n v="2233.39"/>
        <n v="879.32"/>
        <n v="-21.4"/>
        <n v="1732.45"/>
        <n v="2388.5500000000002"/>
        <n v="631"/>
        <n v="-885.72"/>
        <n v="2368.5500000000002"/>
        <n v="-951.64"/>
        <n v="251.29"/>
        <n v="1452.6"/>
        <n v="1873.8"/>
        <n v="2843.62"/>
        <n v="-501.29"/>
        <n v="387.88"/>
        <n v="2959.19"/>
        <n v="436.03"/>
        <n v="1410.16"/>
        <n v="2073.35"/>
        <n v="1673.63"/>
        <n v="971.15"/>
        <n v="-793.29"/>
        <n v="2645.36"/>
        <n v="-25.21"/>
        <n v="-341.21"/>
        <n v="-24.72"/>
        <n v="379.89"/>
        <n v="549.6"/>
        <n v="-876.36"/>
        <n v="608.25"/>
        <n v="1592.04"/>
        <n v="868.11"/>
        <n v="1747.96"/>
        <n v="-305.77"/>
        <n v="-854.91"/>
        <n v="1667.2"/>
        <n v="464.92"/>
        <n v="330.11"/>
        <n v="2553.09"/>
        <n v="1220.49"/>
        <n v="110.23"/>
        <n v="1707.66"/>
        <n v="2595.2199999999998"/>
        <n v="615.80999999999995"/>
        <n v="1743.11"/>
        <n v="-766.47"/>
        <n v="1576.71"/>
        <n v="3.53"/>
        <n v="2243.09"/>
        <n v="1206.72"/>
        <n v="2380.44"/>
        <n v="903.59"/>
        <n v="2992.12"/>
        <n v="433.04"/>
        <n v="-204.04"/>
        <n v="1301.3699999999999"/>
        <n v="2658.6"/>
        <n v="1389.16"/>
        <n v="-526.88"/>
        <n v="2259.3000000000002"/>
        <n v="737.77"/>
        <n v="325.08"/>
        <n v="2431.13"/>
        <n v="794.65"/>
        <n v="81.99"/>
        <n v="1960.51"/>
        <n v="-608.29999999999995"/>
        <n v="2957.6"/>
        <n v="693.65"/>
        <n v="2969.42"/>
        <n v="2850.37"/>
        <n v="957.65"/>
        <n v="2242.67"/>
        <n v="-154.75"/>
        <n v="1003.34"/>
        <n v="-539.25"/>
        <n v="-456.39"/>
        <n v="758.3"/>
        <n v="367.87"/>
        <n v="2535.62"/>
        <n v="688.53"/>
        <n v="2334.42"/>
        <n v="-17.89"/>
        <n v="468.3"/>
        <n v="1048.51"/>
        <n v="-745.27"/>
        <n v="391.06"/>
        <n v="-594.19000000000005"/>
        <n v="658.6"/>
        <n v="-637.47"/>
        <n v="2428.73"/>
        <n v="-384.05"/>
        <n v="-901.7"/>
        <n v="2812.7"/>
        <n v="2280.06"/>
        <n v="2947"/>
        <n v="-523.42999999999995"/>
        <n v="2471.06"/>
        <n v="2395.4299999999998"/>
        <n v="2541.21"/>
        <n v="1133.07"/>
        <n v="2186.58"/>
        <n v="297.83"/>
        <n v="-196.63"/>
        <n v="1267.49"/>
        <n v="1596.53"/>
        <n v="1107.8499999999999"/>
        <n v="2686.96"/>
        <n v="490.69"/>
        <n v="763.37"/>
        <n v="508.96"/>
        <n v="-109.08"/>
        <n v="2388.91"/>
        <n v="2655.22"/>
        <n v="-243.32"/>
        <n v="385.42"/>
        <n v="-243.92"/>
        <n v="-750.14"/>
        <n v="845.06"/>
        <n v="268.45"/>
        <n v="329.75"/>
        <n v="2471.63"/>
        <n v="932.33"/>
        <n v="1113.19"/>
        <n v="716.49"/>
        <n v="1683.74"/>
        <n v="68.36"/>
        <n v="2099.52"/>
        <n v="1277.56"/>
        <n v="-746.94"/>
        <n v="1504.25"/>
        <n v="1552.9"/>
        <n v="1156.27"/>
        <n v="520.85"/>
        <n v="1222.8499999999999"/>
        <n v="-849.83"/>
        <n v="2886.62"/>
        <n v="503.27"/>
        <n v="2743.65"/>
        <n v="1126.81"/>
        <n v="1676.64"/>
        <n v="-613.96"/>
        <n v="1392.37"/>
        <n v="2986.53"/>
        <n v="327.38"/>
        <n v="2534.37"/>
        <n v="827.95"/>
        <n v="2785.75"/>
        <n v="146.52000000000001"/>
        <n v="2190.67"/>
        <n v="-831.93"/>
        <n v="416.5"/>
        <n v="924.69"/>
        <n v="-513.44000000000005"/>
        <n v="317.31"/>
        <n v="1133.68"/>
        <n v="-871.94"/>
        <n v="800.89"/>
        <n v="2415.19"/>
        <n v="977.57"/>
        <n v="2399.61"/>
        <n v="914.27"/>
        <n v="2406.66"/>
        <n v="2863.66"/>
        <n v="1483.83"/>
        <n v="2948.6"/>
        <n v="-5.05"/>
        <n v="1184.77"/>
        <n v="419.44"/>
        <n v="-410.86"/>
        <n v="2967"/>
      </sharedItems>
    </cacheField>
    <cacheField name="Years" numFmtId="0" databaseField="0">
      <fieldGroup base="8">
        <rangePr groupBy="years" startDate="2023-07-25T00:00:00" endDate="2025-07-19T00:00:00"/>
        <groupItems count="5">
          <s v="&lt;25-07-2023"/>
          <s v="2023"/>
          <s v="2024"/>
          <s v="2025"/>
          <s v="&gt;19-07-2025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043.075788194445" createdVersion="3" refreshedVersion="3" minRefreshableVersion="3" recordCount="371">
  <cacheSource type="worksheet">
    <worksheetSource name="Table5"/>
  </cacheSource>
  <cacheFields count="13">
    <cacheField name="Order_ID" numFmtId="0">
      <sharedItems containsSemiMixedTypes="0" containsString="0" containsNumber="1" containsInteger="1" minValue="1002" maxValue="3498"/>
    </cacheField>
    <cacheField name="Customer_Name" numFmtId="0">
      <sharedItems/>
    </cacheField>
    <cacheField name="Product_Category" numFmtId="0">
      <sharedItems/>
    </cacheField>
    <cacheField name="Product_Name" numFmtId="0">
      <sharedItems/>
    </cacheField>
    <cacheField name="Units_Sold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minValue="400.21" maxValue="4984.6499999999996"/>
    </cacheField>
    <cacheField name="Discount_%" numFmtId="0">
      <sharedItems containsSemiMixedTypes="0" containsString="0" containsNumber="1" minValue="0" maxValue="0.99"/>
    </cacheField>
    <cacheField name="Discount Type" numFmtId="0">
      <sharedItems count="2">
        <s v="No Discount"/>
        <s v="Discounted"/>
      </sharedItems>
    </cacheField>
    <cacheField name="Sales_Amount" numFmtId="0">
      <sharedItems containsSemiMixedTypes="0" containsString="0" containsNumber="1" minValue="35.25" maxValue="29860.86"/>
    </cacheField>
    <cacheField name="Order_Date" numFmtId="14">
      <sharedItems containsSemiMixedTypes="0" containsNonDate="0" containsDate="1" containsString="0" minDate="2023-07-25T00:00:00" maxDate="2025-07-19T00:00:00"/>
    </cacheField>
    <cacheField name="City" numFmtId="0">
      <sharedItems count="6">
        <s v="Mumbai"/>
        <s v="Bengaluru"/>
        <s v="Ahmedabad"/>
        <s v="Hyderabad"/>
        <s v="Pune"/>
        <s v="Delhi"/>
      </sharedItems>
    </cacheField>
    <cacheField name="Segment" numFmtId="0">
      <sharedItems/>
    </cacheField>
    <cacheField name="Net_Profit_Loss" numFmtId="0">
      <sharedItems containsSemiMixedTypes="0" containsString="0" containsNumber="1" minValue="-951.64" maxValue="2997.1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1">
  <r>
    <x v="0"/>
    <s v="Sarah Snyder"/>
    <x v="0"/>
    <x v="0"/>
    <n v="1"/>
    <n v="637.82000000000005"/>
    <x v="0"/>
    <n v="637.82000000000005"/>
    <x v="0"/>
    <x v="0"/>
    <x v="0"/>
    <x v="0"/>
  </r>
  <r>
    <x v="1"/>
    <s v="Jay Briggs"/>
    <x v="1"/>
    <x v="1"/>
    <n v="2"/>
    <n v="2962.27"/>
    <x v="0"/>
    <n v="5924.54"/>
    <x v="1"/>
    <x v="1"/>
    <x v="0"/>
    <x v="1"/>
  </r>
  <r>
    <x v="2"/>
    <s v="John Mclean"/>
    <x v="2"/>
    <x v="2"/>
    <n v="1"/>
    <n v="2060.85"/>
    <x v="0"/>
    <n v="2060.85"/>
    <x v="2"/>
    <x v="2"/>
    <x v="0"/>
    <x v="2"/>
  </r>
  <r>
    <x v="3"/>
    <s v="Christine Reed"/>
    <x v="2"/>
    <x v="3"/>
    <n v="4"/>
    <n v="4595.08"/>
    <x v="0"/>
    <n v="18380.32"/>
    <x v="3"/>
    <x v="1"/>
    <x v="1"/>
    <x v="3"/>
  </r>
  <r>
    <x v="4"/>
    <s v="Brandi Jones"/>
    <x v="3"/>
    <x v="4"/>
    <n v="3"/>
    <n v="1069.77"/>
    <x v="0"/>
    <n v="3209.31"/>
    <x v="4"/>
    <x v="3"/>
    <x v="2"/>
    <x v="4"/>
  </r>
  <r>
    <x v="5"/>
    <s v="Connie Cunningham"/>
    <x v="4"/>
    <x v="5"/>
    <n v="2"/>
    <n v="2721.83"/>
    <x v="0"/>
    <n v="5443.66"/>
    <x v="5"/>
    <x v="2"/>
    <x v="0"/>
    <x v="5"/>
  </r>
  <r>
    <x v="6"/>
    <s v="Courtney Riddle"/>
    <x v="4"/>
    <x v="6"/>
    <n v="3"/>
    <n v="1692.38"/>
    <x v="0"/>
    <n v="5077.1400000000003"/>
    <x v="6"/>
    <x v="1"/>
    <x v="2"/>
    <x v="6"/>
  </r>
  <r>
    <x v="7"/>
    <s v="Matthew Schmidt"/>
    <x v="2"/>
    <x v="7"/>
    <n v="1"/>
    <n v="1083.1600000000001"/>
    <x v="0"/>
    <n v="1083.1600000000001"/>
    <x v="7"/>
    <x v="4"/>
    <x v="2"/>
    <x v="7"/>
  </r>
  <r>
    <x v="8"/>
    <s v="Joshua Figueroa"/>
    <x v="1"/>
    <x v="8"/>
    <n v="2"/>
    <n v="3479.44"/>
    <x v="0"/>
    <n v="6958.88"/>
    <x v="8"/>
    <x v="5"/>
    <x v="1"/>
    <x v="8"/>
  </r>
  <r>
    <x v="9"/>
    <s v="Heather Arnold"/>
    <x v="1"/>
    <x v="8"/>
    <n v="5"/>
    <n v="2477.8200000000002"/>
    <x v="0"/>
    <n v="12389.1"/>
    <x v="9"/>
    <x v="2"/>
    <x v="2"/>
    <x v="9"/>
  </r>
  <r>
    <x v="10"/>
    <s v="Daniel Brown"/>
    <x v="1"/>
    <x v="9"/>
    <n v="2"/>
    <n v="2011.73"/>
    <x v="0"/>
    <n v="4023.46"/>
    <x v="10"/>
    <x v="3"/>
    <x v="2"/>
    <x v="10"/>
  </r>
  <r>
    <x v="11"/>
    <s v="Brandon Webb"/>
    <x v="3"/>
    <x v="10"/>
    <n v="5"/>
    <n v="1521.46"/>
    <x v="0"/>
    <n v="7607.3"/>
    <x v="11"/>
    <x v="1"/>
    <x v="0"/>
    <x v="11"/>
  </r>
  <r>
    <x v="12"/>
    <s v="Andrew Moreno"/>
    <x v="3"/>
    <x v="4"/>
    <n v="3"/>
    <n v="2752.71"/>
    <x v="0"/>
    <n v="8258.1299999999992"/>
    <x v="12"/>
    <x v="2"/>
    <x v="0"/>
    <x v="12"/>
  </r>
  <r>
    <x v="13"/>
    <s v="Robert Williams"/>
    <x v="3"/>
    <x v="10"/>
    <n v="6"/>
    <n v="568.61"/>
    <x v="1"/>
    <n v="2729.33"/>
    <x v="13"/>
    <x v="5"/>
    <x v="2"/>
    <x v="13"/>
  </r>
  <r>
    <x v="14"/>
    <s v="Michael Clarke"/>
    <x v="5"/>
    <x v="11"/>
    <n v="5"/>
    <n v="3978.76"/>
    <x v="0"/>
    <n v="19893.8"/>
    <x v="14"/>
    <x v="2"/>
    <x v="1"/>
    <x v="14"/>
  </r>
  <r>
    <x v="15"/>
    <s v="Rhonda Ray"/>
    <x v="3"/>
    <x v="10"/>
    <n v="3"/>
    <n v="4843.4399999999996"/>
    <x v="2"/>
    <n v="13513.2"/>
    <x v="15"/>
    <x v="2"/>
    <x v="0"/>
    <x v="15"/>
  </r>
  <r>
    <x v="16"/>
    <s v="Miranda Thomas"/>
    <x v="2"/>
    <x v="2"/>
    <n v="2"/>
    <n v="2412.36"/>
    <x v="3"/>
    <n v="3715.03"/>
    <x v="16"/>
    <x v="0"/>
    <x v="2"/>
    <x v="16"/>
  </r>
  <r>
    <x v="17"/>
    <s v="Ronald Ballard"/>
    <x v="1"/>
    <x v="12"/>
    <n v="4"/>
    <n v="1556.96"/>
    <x v="4"/>
    <n v="996.45"/>
    <x v="17"/>
    <x v="0"/>
    <x v="0"/>
    <x v="17"/>
  </r>
  <r>
    <x v="18"/>
    <s v="Daniel Alvarez"/>
    <x v="3"/>
    <x v="10"/>
    <n v="6"/>
    <n v="3004.58"/>
    <x v="0"/>
    <n v="18027.48"/>
    <x v="18"/>
    <x v="3"/>
    <x v="2"/>
    <x v="18"/>
  </r>
  <r>
    <x v="19"/>
    <s v="Jorge Anderson"/>
    <x v="4"/>
    <x v="5"/>
    <n v="2"/>
    <n v="3607.9"/>
    <x v="5"/>
    <n v="432.95"/>
    <x v="19"/>
    <x v="3"/>
    <x v="0"/>
    <x v="19"/>
  </r>
  <r>
    <x v="20"/>
    <s v="Joseph Allen"/>
    <x v="2"/>
    <x v="3"/>
    <n v="4"/>
    <n v="2266.44"/>
    <x v="6"/>
    <n v="6074.06"/>
    <x v="20"/>
    <x v="4"/>
    <x v="2"/>
    <x v="20"/>
  </r>
  <r>
    <x v="21"/>
    <s v="Julia Evans"/>
    <x v="5"/>
    <x v="13"/>
    <n v="1"/>
    <n v="478.59"/>
    <x v="0"/>
    <n v="478.59"/>
    <x v="21"/>
    <x v="5"/>
    <x v="0"/>
    <x v="21"/>
  </r>
  <r>
    <x v="22"/>
    <s v="Dean Allen"/>
    <x v="2"/>
    <x v="14"/>
    <n v="6"/>
    <n v="645.03"/>
    <x v="0"/>
    <n v="3870.18"/>
    <x v="22"/>
    <x v="2"/>
    <x v="2"/>
    <x v="22"/>
  </r>
  <r>
    <x v="23"/>
    <s v="Diane Davis"/>
    <x v="0"/>
    <x v="0"/>
    <n v="2"/>
    <n v="2719.32"/>
    <x v="0"/>
    <n v="5438.64"/>
    <x v="23"/>
    <x v="3"/>
    <x v="2"/>
    <x v="23"/>
  </r>
  <r>
    <x v="24"/>
    <s v="Tiffany Flores"/>
    <x v="0"/>
    <x v="15"/>
    <n v="6"/>
    <n v="4984.6499999999996"/>
    <x v="7"/>
    <n v="17346.580000000002"/>
    <x v="24"/>
    <x v="1"/>
    <x v="1"/>
    <x v="24"/>
  </r>
  <r>
    <x v="25"/>
    <s v="Sherry Ward"/>
    <x v="5"/>
    <x v="16"/>
    <n v="6"/>
    <n v="2372.3000000000002"/>
    <x v="0"/>
    <n v="14233.8"/>
    <x v="25"/>
    <x v="5"/>
    <x v="1"/>
    <x v="25"/>
  </r>
  <r>
    <x v="26"/>
    <s v="Maria Morrow"/>
    <x v="5"/>
    <x v="13"/>
    <n v="6"/>
    <n v="4910.28"/>
    <x v="8"/>
    <n v="25926.28"/>
    <x v="26"/>
    <x v="1"/>
    <x v="1"/>
    <x v="26"/>
  </r>
  <r>
    <x v="27"/>
    <s v="Jacqueline Erickson"/>
    <x v="5"/>
    <x v="17"/>
    <n v="3"/>
    <n v="3594.97"/>
    <x v="0"/>
    <n v="10784.91"/>
    <x v="27"/>
    <x v="5"/>
    <x v="2"/>
    <x v="27"/>
  </r>
  <r>
    <x v="28"/>
    <s v="Crystal Hayes MD"/>
    <x v="0"/>
    <x v="18"/>
    <n v="2"/>
    <n v="3507.85"/>
    <x v="0"/>
    <n v="7015.7"/>
    <x v="28"/>
    <x v="4"/>
    <x v="0"/>
    <x v="28"/>
  </r>
  <r>
    <x v="29"/>
    <s v="Bradley Quinn"/>
    <x v="1"/>
    <x v="8"/>
    <n v="1"/>
    <n v="4098.12"/>
    <x v="0"/>
    <n v="4098.12"/>
    <x v="29"/>
    <x v="3"/>
    <x v="1"/>
    <x v="29"/>
  </r>
  <r>
    <x v="30"/>
    <s v="Alicia Hernandez"/>
    <x v="0"/>
    <x v="15"/>
    <n v="4"/>
    <n v="1273.5999999999999"/>
    <x v="0"/>
    <n v="5094.3999999999996"/>
    <x v="1"/>
    <x v="3"/>
    <x v="2"/>
    <x v="30"/>
  </r>
  <r>
    <x v="31"/>
    <s v="Jamie Alexander"/>
    <x v="3"/>
    <x v="19"/>
    <n v="3"/>
    <n v="1544.45"/>
    <x v="6"/>
    <n v="3104.34"/>
    <x v="30"/>
    <x v="3"/>
    <x v="0"/>
    <x v="31"/>
  </r>
  <r>
    <x v="32"/>
    <s v="Sierra Miller"/>
    <x v="1"/>
    <x v="12"/>
    <n v="2"/>
    <n v="2526.77"/>
    <x v="0"/>
    <n v="5053.54"/>
    <x v="31"/>
    <x v="0"/>
    <x v="2"/>
    <x v="32"/>
  </r>
  <r>
    <x v="33"/>
    <s v="Karina Davis"/>
    <x v="4"/>
    <x v="5"/>
    <n v="4"/>
    <n v="644.58000000000004"/>
    <x v="0"/>
    <n v="2578.3200000000002"/>
    <x v="32"/>
    <x v="5"/>
    <x v="0"/>
    <x v="33"/>
  </r>
  <r>
    <x v="34"/>
    <s v="Caroline Thomas"/>
    <x v="2"/>
    <x v="7"/>
    <n v="6"/>
    <n v="3111.95"/>
    <x v="0"/>
    <n v="18671.7"/>
    <x v="33"/>
    <x v="1"/>
    <x v="1"/>
    <x v="34"/>
  </r>
  <r>
    <x v="35"/>
    <s v="Hailey Sullivan"/>
    <x v="3"/>
    <x v="20"/>
    <n v="2"/>
    <n v="4841.3999999999996"/>
    <x v="9"/>
    <n v="3873.12"/>
    <x v="34"/>
    <x v="4"/>
    <x v="1"/>
    <x v="35"/>
  </r>
  <r>
    <x v="36"/>
    <s v="Brandy Clark"/>
    <x v="4"/>
    <x v="21"/>
    <n v="6"/>
    <n v="1638.51"/>
    <x v="10"/>
    <n v="1179.73"/>
    <x v="35"/>
    <x v="0"/>
    <x v="2"/>
    <x v="36"/>
  </r>
  <r>
    <x v="37"/>
    <s v="Kim Campos"/>
    <x v="4"/>
    <x v="21"/>
    <n v="4"/>
    <n v="1849.68"/>
    <x v="0"/>
    <n v="7398.72"/>
    <x v="36"/>
    <x v="3"/>
    <x v="2"/>
    <x v="37"/>
  </r>
  <r>
    <x v="38"/>
    <s v="Shane Gomez"/>
    <x v="3"/>
    <x v="10"/>
    <n v="2"/>
    <n v="4313.38"/>
    <x v="0"/>
    <n v="8626.76"/>
    <x v="37"/>
    <x v="5"/>
    <x v="2"/>
    <x v="38"/>
  </r>
  <r>
    <x v="39"/>
    <s v="Tyler Haney"/>
    <x v="1"/>
    <x v="9"/>
    <n v="2"/>
    <n v="3396.92"/>
    <x v="0"/>
    <n v="6793.84"/>
    <x v="38"/>
    <x v="2"/>
    <x v="1"/>
    <x v="39"/>
  </r>
  <r>
    <x v="40"/>
    <s v="Sarah Andrews"/>
    <x v="0"/>
    <x v="18"/>
    <n v="3"/>
    <n v="3255.23"/>
    <x v="0"/>
    <n v="9765.69"/>
    <x v="39"/>
    <x v="5"/>
    <x v="0"/>
    <x v="40"/>
  </r>
  <r>
    <x v="41"/>
    <s v="Kelly Wong"/>
    <x v="3"/>
    <x v="20"/>
    <n v="3"/>
    <n v="4132"/>
    <x v="0"/>
    <n v="12396"/>
    <x v="40"/>
    <x v="1"/>
    <x v="0"/>
    <x v="41"/>
  </r>
  <r>
    <x v="42"/>
    <s v="Michael Coleman"/>
    <x v="5"/>
    <x v="17"/>
    <n v="2"/>
    <n v="4720.5200000000004"/>
    <x v="11"/>
    <n v="4059.65"/>
    <x v="41"/>
    <x v="5"/>
    <x v="2"/>
    <x v="42"/>
  </r>
  <r>
    <x v="43"/>
    <s v="Lori Orozco"/>
    <x v="2"/>
    <x v="7"/>
    <n v="2"/>
    <n v="2795.79"/>
    <x v="0"/>
    <n v="5591.58"/>
    <x v="42"/>
    <x v="1"/>
    <x v="0"/>
    <x v="43"/>
  </r>
  <r>
    <x v="44"/>
    <s v="John Levine"/>
    <x v="0"/>
    <x v="22"/>
    <n v="1"/>
    <n v="1026.58"/>
    <x v="0"/>
    <n v="1026.58"/>
    <x v="43"/>
    <x v="3"/>
    <x v="2"/>
    <x v="44"/>
  </r>
  <r>
    <x v="45"/>
    <s v="Amber Lee"/>
    <x v="3"/>
    <x v="4"/>
    <n v="2"/>
    <n v="2648.43"/>
    <x v="0"/>
    <n v="5296.86"/>
    <x v="44"/>
    <x v="2"/>
    <x v="0"/>
    <x v="45"/>
  </r>
  <r>
    <x v="46"/>
    <s v="Michael Joseph"/>
    <x v="3"/>
    <x v="10"/>
    <n v="2"/>
    <n v="4203.62"/>
    <x v="0"/>
    <n v="8407.24"/>
    <x v="45"/>
    <x v="0"/>
    <x v="0"/>
    <x v="46"/>
  </r>
  <r>
    <x v="47"/>
    <s v="Mark Gonzales"/>
    <x v="2"/>
    <x v="2"/>
    <n v="2"/>
    <n v="515.04"/>
    <x v="0"/>
    <n v="1030.08"/>
    <x v="46"/>
    <x v="1"/>
    <x v="1"/>
    <x v="47"/>
  </r>
  <r>
    <x v="48"/>
    <s v="Christine Drake"/>
    <x v="1"/>
    <x v="9"/>
    <n v="4"/>
    <n v="3250.24"/>
    <x v="12"/>
    <n v="5720.42"/>
    <x v="47"/>
    <x v="4"/>
    <x v="0"/>
    <x v="48"/>
  </r>
  <r>
    <x v="49"/>
    <s v="Eric Medina"/>
    <x v="4"/>
    <x v="5"/>
    <n v="1"/>
    <n v="2587.7800000000002"/>
    <x v="0"/>
    <n v="2587.7800000000002"/>
    <x v="48"/>
    <x v="3"/>
    <x v="2"/>
    <x v="49"/>
  </r>
  <r>
    <x v="50"/>
    <s v="Russell Douglas"/>
    <x v="3"/>
    <x v="4"/>
    <n v="6"/>
    <n v="1454.69"/>
    <x v="0"/>
    <n v="8728.14"/>
    <x v="49"/>
    <x v="5"/>
    <x v="1"/>
    <x v="50"/>
  </r>
  <r>
    <x v="51"/>
    <s v="Ryan James"/>
    <x v="3"/>
    <x v="10"/>
    <n v="1"/>
    <n v="1054.69"/>
    <x v="13"/>
    <n v="864.85"/>
    <x v="32"/>
    <x v="0"/>
    <x v="0"/>
    <x v="51"/>
  </r>
  <r>
    <x v="52"/>
    <s v="Krista Wright"/>
    <x v="4"/>
    <x v="21"/>
    <n v="1"/>
    <n v="4953.0200000000004"/>
    <x v="0"/>
    <n v="4953.0200000000004"/>
    <x v="50"/>
    <x v="2"/>
    <x v="2"/>
    <x v="52"/>
  </r>
  <r>
    <x v="53"/>
    <s v="Megan Smith"/>
    <x v="5"/>
    <x v="11"/>
    <n v="4"/>
    <n v="1447.28"/>
    <x v="0"/>
    <n v="5789.12"/>
    <x v="51"/>
    <x v="3"/>
    <x v="0"/>
    <x v="53"/>
  </r>
  <r>
    <x v="54"/>
    <s v="Rachel Bradford"/>
    <x v="3"/>
    <x v="4"/>
    <n v="5"/>
    <n v="2409.13"/>
    <x v="0"/>
    <n v="12045.65"/>
    <x v="52"/>
    <x v="4"/>
    <x v="2"/>
    <x v="54"/>
  </r>
  <r>
    <x v="55"/>
    <s v="Barbara Jones"/>
    <x v="3"/>
    <x v="19"/>
    <n v="2"/>
    <n v="2742.38"/>
    <x v="0"/>
    <n v="5484.76"/>
    <x v="53"/>
    <x v="2"/>
    <x v="1"/>
    <x v="55"/>
  </r>
  <r>
    <x v="56"/>
    <s v="Eric Williams"/>
    <x v="4"/>
    <x v="21"/>
    <n v="6"/>
    <n v="3792.09"/>
    <x v="0"/>
    <n v="22752.54"/>
    <x v="54"/>
    <x v="1"/>
    <x v="2"/>
    <x v="56"/>
  </r>
  <r>
    <x v="57"/>
    <s v="William Peck"/>
    <x v="5"/>
    <x v="13"/>
    <n v="2"/>
    <n v="2215.4"/>
    <x v="14"/>
    <n v="177.23"/>
    <x v="55"/>
    <x v="3"/>
    <x v="1"/>
    <x v="57"/>
  </r>
  <r>
    <x v="58"/>
    <s v="Tammy Johnson"/>
    <x v="5"/>
    <x v="13"/>
    <n v="2"/>
    <n v="4882.03"/>
    <x v="3"/>
    <n v="7518.33"/>
    <x v="56"/>
    <x v="3"/>
    <x v="2"/>
    <x v="58"/>
  </r>
  <r>
    <x v="59"/>
    <s v="Nancy James"/>
    <x v="4"/>
    <x v="23"/>
    <n v="2"/>
    <n v="3692.25"/>
    <x v="0"/>
    <n v="7384.5"/>
    <x v="57"/>
    <x v="0"/>
    <x v="2"/>
    <x v="59"/>
  </r>
  <r>
    <x v="60"/>
    <s v="Judith Johnson"/>
    <x v="0"/>
    <x v="18"/>
    <n v="2"/>
    <n v="818.68"/>
    <x v="0"/>
    <n v="1637.36"/>
    <x v="58"/>
    <x v="0"/>
    <x v="1"/>
    <x v="60"/>
  </r>
  <r>
    <x v="61"/>
    <s v="Nancy Taylor"/>
    <x v="5"/>
    <x v="17"/>
    <n v="6"/>
    <n v="1234.08"/>
    <x v="15"/>
    <n v="2147.3000000000002"/>
    <x v="59"/>
    <x v="5"/>
    <x v="2"/>
    <x v="61"/>
  </r>
  <r>
    <x v="62"/>
    <s v="Laura Myers"/>
    <x v="0"/>
    <x v="22"/>
    <n v="1"/>
    <n v="4874.76"/>
    <x v="0"/>
    <n v="4874.76"/>
    <x v="60"/>
    <x v="2"/>
    <x v="0"/>
    <x v="62"/>
  </r>
  <r>
    <x v="63"/>
    <s v="Tiffany Calhoun"/>
    <x v="2"/>
    <x v="3"/>
    <n v="6"/>
    <n v="3771.67"/>
    <x v="0"/>
    <n v="22630.02"/>
    <x v="61"/>
    <x v="0"/>
    <x v="2"/>
    <x v="63"/>
  </r>
  <r>
    <x v="64"/>
    <s v="Linda Allen"/>
    <x v="4"/>
    <x v="23"/>
    <n v="2"/>
    <n v="4621.79"/>
    <x v="16"/>
    <n v="6285.63"/>
    <x v="62"/>
    <x v="5"/>
    <x v="2"/>
    <x v="64"/>
  </r>
  <r>
    <x v="65"/>
    <s v="James Matthews"/>
    <x v="1"/>
    <x v="1"/>
    <n v="2"/>
    <n v="2558.4299999999998"/>
    <x v="0"/>
    <n v="5116.8599999999997"/>
    <x v="63"/>
    <x v="1"/>
    <x v="0"/>
    <x v="65"/>
  </r>
  <r>
    <x v="66"/>
    <s v="Lauren Bailey"/>
    <x v="5"/>
    <x v="17"/>
    <n v="3"/>
    <n v="4596.03"/>
    <x v="0"/>
    <n v="13788.09"/>
    <x v="64"/>
    <x v="5"/>
    <x v="1"/>
    <x v="66"/>
  </r>
  <r>
    <x v="67"/>
    <s v="Jennifer Alvarado"/>
    <x v="5"/>
    <x v="13"/>
    <n v="1"/>
    <n v="3762.86"/>
    <x v="0"/>
    <n v="3762.86"/>
    <x v="29"/>
    <x v="0"/>
    <x v="0"/>
    <x v="67"/>
  </r>
  <r>
    <x v="68"/>
    <s v="David Morales"/>
    <x v="5"/>
    <x v="16"/>
    <n v="5"/>
    <n v="4591.26"/>
    <x v="0"/>
    <n v="22956.3"/>
    <x v="65"/>
    <x v="3"/>
    <x v="0"/>
    <x v="68"/>
  </r>
  <r>
    <x v="69"/>
    <s v="Rachel Rios"/>
    <x v="1"/>
    <x v="12"/>
    <n v="2"/>
    <n v="1884.25"/>
    <x v="0"/>
    <n v="3768.5"/>
    <x v="66"/>
    <x v="1"/>
    <x v="1"/>
    <x v="69"/>
  </r>
  <r>
    <x v="70"/>
    <s v="William Aguilar"/>
    <x v="0"/>
    <x v="15"/>
    <n v="1"/>
    <n v="4774.7700000000004"/>
    <x v="14"/>
    <n v="190.99"/>
    <x v="45"/>
    <x v="0"/>
    <x v="2"/>
    <x v="70"/>
  </r>
  <r>
    <x v="71"/>
    <s v="Rick Moran"/>
    <x v="0"/>
    <x v="22"/>
    <n v="1"/>
    <n v="1882.14"/>
    <x v="9"/>
    <n v="752.86"/>
    <x v="67"/>
    <x v="2"/>
    <x v="0"/>
    <x v="71"/>
  </r>
  <r>
    <x v="72"/>
    <s v="David Noble"/>
    <x v="2"/>
    <x v="7"/>
    <n v="1"/>
    <n v="4809.8999999999996"/>
    <x v="17"/>
    <n v="384.79"/>
    <x v="68"/>
    <x v="0"/>
    <x v="1"/>
    <x v="72"/>
  </r>
  <r>
    <x v="73"/>
    <s v="Tina Keith"/>
    <x v="1"/>
    <x v="12"/>
    <n v="2"/>
    <n v="2738.72"/>
    <x v="18"/>
    <n v="602.52"/>
    <x v="57"/>
    <x v="5"/>
    <x v="1"/>
    <x v="73"/>
  </r>
  <r>
    <x v="74"/>
    <s v="Mark Campbell"/>
    <x v="0"/>
    <x v="0"/>
    <n v="3"/>
    <n v="738.29"/>
    <x v="0"/>
    <n v="2214.87"/>
    <x v="69"/>
    <x v="2"/>
    <x v="0"/>
    <x v="74"/>
  </r>
  <r>
    <x v="75"/>
    <s v="Linda Ross"/>
    <x v="4"/>
    <x v="6"/>
    <n v="1"/>
    <n v="657.51"/>
    <x v="19"/>
    <n v="151.22999999999999"/>
    <x v="70"/>
    <x v="5"/>
    <x v="2"/>
    <x v="75"/>
  </r>
  <r>
    <x v="76"/>
    <s v="Lindsay Sanchez"/>
    <x v="1"/>
    <x v="8"/>
    <n v="3"/>
    <n v="3536.61"/>
    <x v="20"/>
    <n v="2228.06"/>
    <x v="55"/>
    <x v="0"/>
    <x v="2"/>
    <x v="76"/>
  </r>
  <r>
    <x v="77"/>
    <s v="Stephanie Ferguson"/>
    <x v="0"/>
    <x v="0"/>
    <n v="5"/>
    <n v="1010.24"/>
    <x v="0"/>
    <n v="5051.2"/>
    <x v="71"/>
    <x v="4"/>
    <x v="1"/>
    <x v="77"/>
  </r>
  <r>
    <x v="78"/>
    <s v="Anna Valdez"/>
    <x v="5"/>
    <x v="16"/>
    <n v="1"/>
    <n v="1575.26"/>
    <x v="0"/>
    <n v="1575.26"/>
    <x v="72"/>
    <x v="5"/>
    <x v="2"/>
    <x v="78"/>
  </r>
  <r>
    <x v="79"/>
    <s v="Joel Fitzpatrick"/>
    <x v="3"/>
    <x v="20"/>
    <n v="6"/>
    <n v="4962.7"/>
    <x v="21"/>
    <n v="29180.68"/>
    <x v="73"/>
    <x v="3"/>
    <x v="2"/>
    <x v="79"/>
  </r>
  <r>
    <x v="80"/>
    <s v="Scott Webb"/>
    <x v="4"/>
    <x v="21"/>
    <n v="6"/>
    <n v="639.66999999999996"/>
    <x v="0"/>
    <n v="3838.02"/>
    <x v="68"/>
    <x v="3"/>
    <x v="0"/>
    <x v="80"/>
  </r>
  <r>
    <x v="81"/>
    <s v="Heather Gordon"/>
    <x v="2"/>
    <x v="14"/>
    <n v="6"/>
    <n v="987.35"/>
    <x v="0"/>
    <n v="5924.1"/>
    <x v="34"/>
    <x v="0"/>
    <x v="0"/>
    <x v="81"/>
  </r>
  <r>
    <x v="82"/>
    <s v="Gary Simon"/>
    <x v="3"/>
    <x v="10"/>
    <n v="1"/>
    <n v="3345.58"/>
    <x v="22"/>
    <n v="2475.73"/>
    <x v="74"/>
    <x v="3"/>
    <x v="1"/>
    <x v="82"/>
  </r>
  <r>
    <x v="83"/>
    <s v="Brian Floyd"/>
    <x v="4"/>
    <x v="21"/>
    <n v="2"/>
    <n v="2660.45"/>
    <x v="23"/>
    <n v="4150.3"/>
    <x v="75"/>
    <x v="1"/>
    <x v="0"/>
    <x v="83"/>
  </r>
  <r>
    <x v="84"/>
    <s v="Anthony Kent"/>
    <x v="2"/>
    <x v="2"/>
    <n v="5"/>
    <n v="1385.86"/>
    <x v="15"/>
    <n v="2009.5"/>
    <x v="76"/>
    <x v="0"/>
    <x v="2"/>
    <x v="84"/>
  </r>
  <r>
    <x v="85"/>
    <s v="Michael Keller"/>
    <x v="5"/>
    <x v="16"/>
    <n v="4"/>
    <n v="1429.93"/>
    <x v="0"/>
    <n v="5719.72"/>
    <x v="77"/>
    <x v="2"/>
    <x v="0"/>
    <x v="85"/>
  </r>
  <r>
    <x v="86"/>
    <s v="Justin Rose"/>
    <x v="4"/>
    <x v="21"/>
    <n v="1"/>
    <n v="4198.5"/>
    <x v="0"/>
    <n v="4198.5"/>
    <x v="78"/>
    <x v="4"/>
    <x v="1"/>
    <x v="86"/>
  </r>
  <r>
    <x v="87"/>
    <s v="Mark Silva"/>
    <x v="3"/>
    <x v="4"/>
    <n v="2"/>
    <n v="3537.97"/>
    <x v="22"/>
    <n v="5236.2"/>
    <x v="79"/>
    <x v="1"/>
    <x v="1"/>
    <x v="87"/>
  </r>
  <r>
    <x v="88"/>
    <s v="Mary Tran"/>
    <x v="0"/>
    <x v="0"/>
    <n v="5"/>
    <n v="1941.39"/>
    <x v="24"/>
    <n v="4465.2"/>
    <x v="80"/>
    <x v="5"/>
    <x v="2"/>
    <x v="88"/>
  </r>
  <r>
    <x v="89"/>
    <s v="Kathryn Hardy"/>
    <x v="1"/>
    <x v="9"/>
    <n v="6"/>
    <n v="2878.51"/>
    <x v="0"/>
    <n v="17271.060000000001"/>
    <x v="81"/>
    <x v="0"/>
    <x v="1"/>
    <x v="89"/>
  </r>
  <r>
    <x v="90"/>
    <s v="Sandra Peterson"/>
    <x v="5"/>
    <x v="13"/>
    <n v="2"/>
    <n v="1758.97"/>
    <x v="0"/>
    <n v="3517.94"/>
    <x v="82"/>
    <x v="5"/>
    <x v="1"/>
    <x v="90"/>
  </r>
  <r>
    <x v="91"/>
    <s v="Linda Long"/>
    <x v="1"/>
    <x v="12"/>
    <n v="6"/>
    <n v="701.16"/>
    <x v="0"/>
    <n v="4206.96"/>
    <x v="83"/>
    <x v="5"/>
    <x v="2"/>
    <x v="91"/>
  </r>
  <r>
    <x v="92"/>
    <s v="Cynthia Conway"/>
    <x v="1"/>
    <x v="12"/>
    <n v="2"/>
    <n v="4170.76"/>
    <x v="0"/>
    <n v="8341.52"/>
    <x v="84"/>
    <x v="1"/>
    <x v="1"/>
    <x v="92"/>
  </r>
  <r>
    <x v="93"/>
    <s v="Jerry Carroll"/>
    <x v="0"/>
    <x v="22"/>
    <n v="5"/>
    <n v="1717.79"/>
    <x v="0"/>
    <n v="8588.9500000000007"/>
    <x v="68"/>
    <x v="2"/>
    <x v="0"/>
    <x v="93"/>
  </r>
  <r>
    <x v="94"/>
    <s v="Ricardo Moran"/>
    <x v="5"/>
    <x v="13"/>
    <n v="1"/>
    <n v="2386.58"/>
    <x v="0"/>
    <n v="2386.58"/>
    <x v="85"/>
    <x v="4"/>
    <x v="0"/>
    <x v="94"/>
  </r>
  <r>
    <x v="95"/>
    <s v="Marie Nelson"/>
    <x v="4"/>
    <x v="6"/>
    <n v="4"/>
    <n v="1279.2"/>
    <x v="25"/>
    <n v="3735.26"/>
    <x v="86"/>
    <x v="5"/>
    <x v="2"/>
    <x v="95"/>
  </r>
  <r>
    <x v="96"/>
    <s v="Christina Meyers"/>
    <x v="0"/>
    <x v="22"/>
    <n v="5"/>
    <n v="3988.99"/>
    <x v="0"/>
    <n v="19944.95"/>
    <x v="87"/>
    <x v="3"/>
    <x v="2"/>
    <x v="96"/>
  </r>
  <r>
    <x v="97"/>
    <s v="Lisa Vang"/>
    <x v="2"/>
    <x v="2"/>
    <n v="3"/>
    <n v="4407.79"/>
    <x v="26"/>
    <n v="4760.41"/>
    <x v="88"/>
    <x v="5"/>
    <x v="0"/>
    <x v="97"/>
  </r>
  <r>
    <x v="98"/>
    <s v="Dylan Armstrong"/>
    <x v="0"/>
    <x v="15"/>
    <n v="3"/>
    <n v="3667.54"/>
    <x v="11"/>
    <n v="4731.13"/>
    <x v="89"/>
    <x v="2"/>
    <x v="0"/>
    <x v="98"/>
  </r>
  <r>
    <x v="99"/>
    <s v="Jonathan Schmidt"/>
    <x v="3"/>
    <x v="4"/>
    <n v="3"/>
    <n v="671.5"/>
    <x v="0"/>
    <n v="2014.5"/>
    <x v="90"/>
    <x v="3"/>
    <x v="0"/>
    <x v="99"/>
  </r>
  <r>
    <x v="100"/>
    <s v="Paige Lee"/>
    <x v="1"/>
    <x v="1"/>
    <n v="1"/>
    <n v="733.15"/>
    <x v="25"/>
    <n v="535.20000000000005"/>
    <x v="91"/>
    <x v="2"/>
    <x v="0"/>
    <x v="100"/>
  </r>
  <r>
    <x v="101"/>
    <s v="Mary Kline"/>
    <x v="3"/>
    <x v="19"/>
    <n v="5"/>
    <n v="4982.68"/>
    <x v="0"/>
    <n v="24913.4"/>
    <x v="92"/>
    <x v="0"/>
    <x v="0"/>
    <x v="101"/>
  </r>
  <r>
    <x v="102"/>
    <s v="Selena Baker"/>
    <x v="0"/>
    <x v="18"/>
    <n v="2"/>
    <n v="721.25"/>
    <x v="0"/>
    <n v="1442.5"/>
    <x v="93"/>
    <x v="5"/>
    <x v="1"/>
    <x v="102"/>
  </r>
  <r>
    <x v="103"/>
    <s v="Brent Rios"/>
    <x v="0"/>
    <x v="22"/>
    <n v="3"/>
    <n v="963.18"/>
    <x v="0"/>
    <n v="2889.54"/>
    <x v="94"/>
    <x v="0"/>
    <x v="0"/>
    <x v="103"/>
  </r>
  <r>
    <x v="104"/>
    <s v="Jennifer Dominguez"/>
    <x v="4"/>
    <x v="5"/>
    <n v="1"/>
    <n v="1762.56"/>
    <x v="27"/>
    <n v="35.25"/>
    <x v="95"/>
    <x v="2"/>
    <x v="0"/>
    <x v="104"/>
  </r>
  <r>
    <x v="105"/>
    <s v="Dustin Blackburn"/>
    <x v="5"/>
    <x v="16"/>
    <n v="3"/>
    <n v="4326.6000000000004"/>
    <x v="0"/>
    <n v="12979.8"/>
    <x v="96"/>
    <x v="2"/>
    <x v="0"/>
    <x v="105"/>
  </r>
  <r>
    <x v="106"/>
    <s v="Lisa Moss"/>
    <x v="0"/>
    <x v="18"/>
    <n v="3"/>
    <n v="4343.12"/>
    <x v="0"/>
    <n v="13029.36"/>
    <x v="97"/>
    <x v="3"/>
    <x v="2"/>
    <x v="106"/>
  </r>
  <r>
    <x v="107"/>
    <s v="Patrick Chen"/>
    <x v="2"/>
    <x v="3"/>
    <n v="6"/>
    <n v="1016.5"/>
    <x v="0"/>
    <n v="6099"/>
    <x v="98"/>
    <x v="0"/>
    <x v="2"/>
    <x v="107"/>
  </r>
  <r>
    <x v="108"/>
    <s v="Sandra Jensen"/>
    <x v="1"/>
    <x v="8"/>
    <n v="5"/>
    <n v="3548.22"/>
    <x v="0"/>
    <n v="17741.099999999999"/>
    <x v="99"/>
    <x v="0"/>
    <x v="0"/>
    <x v="108"/>
  </r>
  <r>
    <x v="109"/>
    <s v="Ruth Bennett"/>
    <x v="1"/>
    <x v="8"/>
    <n v="1"/>
    <n v="730.48"/>
    <x v="0"/>
    <n v="730.48"/>
    <x v="100"/>
    <x v="3"/>
    <x v="2"/>
    <x v="109"/>
  </r>
  <r>
    <x v="110"/>
    <s v="Robert Hunter DDS"/>
    <x v="5"/>
    <x v="17"/>
    <n v="3"/>
    <n v="4137.43"/>
    <x v="0"/>
    <n v="12412.29"/>
    <x v="101"/>
    <x v="2"/>
    <x v="2"/>
    <x v="110"/>
  </r>
  <r>
    <x v="111"/>
    <s v="Brandi Stone"/>
    <x v="4"/>
    <x v="6"/>
    <n v="5"/>
    <n v="2716.57"/>
    <x v="0"/>
    <n v="13582.85"/>
    <x v="102"/>
    <x v="0"/>
    <x v="2"/>
    <x v="111"/>
  </r>
  <r>
    <x v="112"/>
    <s v="Matthew Barajas"/>
    <x v="4"/>
    <x v="6"/>
    <n v="4"/>
    <n v="2068.0500000000002"/>
    <x v="0"/>
    <n v="8272.2000000000007"/>
    <x v="103"/>
    <x v="0"/>
    <x v="2"/>
    <x v="112"/>
  </r>
  <r>
    <x v="113"/>
    <s v="Jeffery Hoover"/>
    <x v="4"/>
    <x v="23"/>
    <n v="3"/>
    <n v="4103"/>
    <x v="0"/>
    <n v="12309"/>
    <x v="47"/>
    <x v="3"/>
    <x v="2"/>
    <x v="113"/>
  </r>
  <r>
    <x v="114"/>
    <s v="Gregory Palmer"/>
    <x v="2"/>
    <x v="7"/>
    <n v="5"/>
    <n v="2951.4"/>
    <x v="0"/>
    <n v="14757"/>
    <x v="104"/>
    <x v="5"/>
    <x v="1"/>
    <x v="114"/>
  </r>
  <r>
    <x v="115"/>
    <s v="April Delgado"/>
    <x v="0"/>
    <x v="18"/>
    <n v="1"/>
    <n v="3268.42"/>
    <x v="0"/>
    <n v="3268.42"/>
    <x v="105"/>
    <x v="5"/>
    <x v="2"/>
    <x v="115"/>
  </r>
  <r>
    <x v="116"/>
    <s v="Maria Krueger"/>
    <x v="3"/>
    <x v="4"/>
    <n v="5"/>
    <n v="1887.84"/>
    <x v="0"/>
    <n v="9439.2000000000007"/>
    <x v="106"/>
    <x v="2"/>
    <x v="2"/>
    <x v="116"/>
  </r>
  <r>
    <x v="117"/>
    <s v="Angela Lopez"/>
    <x v="2"/>
    <x v="2"/>
    <n v="4"/>
    <n v="2308.12"/>
    <x v="0"/>
    <n v="9232.48"/>
    <x v="107"/>
    <x v="1"/>
    <x v="2"/>
    <x v="117"/>
  </r>
  <r>
    <x v="118"/>
    <s v="Danielle Love"/>
    <x v="4"/>
    <x v="5"/>
    <n v="1"/>
    <n v="1130.83"/>
    <x v="4"/>
    <n v="180.93"/>
    <x v="108"/>
    <x v="3"/>
    <x v="1"/>
    <x v="118"/>
  </r>
  <r>
    <x v="119"/>
    <s v="John Bailey"/>
    <x v="4"/>
    <x v="5"/>
    <n v="5"/>
    <n v="1965.04"/>
    <x v="0"/>
    <n v="9825.2000000000007"/>
    <x v="53"/>
    <x v="4"/>
    <x v="1"/>
    <x v="119"/>
  </r>
  <r>
    <x v="120"/>
    <s v="Ashley Malone"/>
    <x v="5"/>
    <x v="17"/>
    <n v="1"/>
    <n v="694.71"/>
    <x v="0"/>
    <n v="694.71"/>
    <x v="109"/>
    <x v="2"/>
    <x v="0"/>
    <x v="120"/>
  </r>
  <r>
    <x v="121"/>
    <s v="Ms. Brianna Jones"/>
    <x v="2"/>
    <x v="7"/>
    <n v="5"/>
    <n v="1505"/>
    <x v="0"/>
    <n v="7525"/>
    <x v="110"/>
    <x v="1"/>
    <x v="0"/>
    <x v="121"/>
  </r>
  <r>
    <x v="122"/>
    <s v="Joseph Hall"/>
    <x v="5"/>
    <x v="16"/>
    <n v="3"/>
    <n v="2862.48"/>
    <x v="0"/>
    <n v="8587.44"/>
    <x v="111"/>
    <x v="2"/>
    <x v="0"/>
    <x v="122"/>
  </r>
  <r>
    <x v="123"/>
    <s v="Lisa Smith"/>
    <x v="4"/>
    <x v="6"/>
    <n v="5"/>
    <n v="3870.85"/>
    <x v="0"/>
    <n v="19354.25"/>
    <x v="112"/>
    <x v="1"/>
    <x v="2"/>
    <x v="123"/>
  </r>
  <r>
    <x v="124"/>
    <s v="Paul Garrison"/>
    <x v="3"/>
    <x v="19"/>
    <n v="1"/>
    <n v="2737.23"/>
    <x v="0"/>
    <n v="2737.23"/>
    <x v="113"/>
    <x v="0"/>
    <x v="0"/>
    <x v="124"/>
  </r>
  <r>
    <x v="125"/>
    <s v="Priscilla Williams"/>
    <x v="5"/>
    <x v="17"/>
    <n v="4"/>
    <n v="1442.86"/>
    <x v="28"/>
    <n v="865.72"/>
    <x v="114"/>
    <x v="3"/>
    <x v="0"/>
    <x v="125"/>
  </r>
  <r>
    <x v="126"/>
    <s v="Cory Chambers"/>
    <x v="5"/>
    <x v="11"/>
    <n v="4"/>
    <n v="1570.06"/>
    <x v="0"/>
    <n v="6280.24"/>
    <x v="115"/>
    <x v="5"/>
    <x v="1"/>
    <x v="126"/>
  </r>
  <r>
    <x v="127"/>
    <s v="Ann Melton"/>
    <x v="0"/>
    <x v="15"/>
    <n v="2"/>
    <n v="2496.81"/>
    <x v="0"/>
    <n v="4993.62"/>
    <x v="116"/>
    <x v="3"/>
    <x v="1"/>
    <x v="127"/>
  </r>
  <r>
    <x v="128"/>
    <s v="Dylan Roth"/>
    <x v="4"/>
    <x v="5"/>
    <n v="4"/>
    <n v="4471.17"/>
    <x v="9"/>
    <n v="7153.87"/>
    <x v="117"/>
    <x v="4"/>
    <x v="2"/>
    <x v="128"/>
  </r>
  <r>
    <x v="129"/>
    <s v="Melanie Phillips"/>
    <x v="1"/>
    <x v="8"/>
    <n v="5"/>
    <n v="2847.02"/>
    <x v="0"/>
    <n v="14235.1"/>
    <x v="25"/>
    <x v="2"/>
    <x v="1"/>
    <x v="129"/>
  </r>
  <r>
    <x v="130"/>
    <s v="Nicholas Evans"/>
    <x v="5"/>
    <x v="16"/>
    <n v="1"/>
    <n v="772.97"/>
    <x v="29"/>
    <n v="77.3"/>
    <x v="118"/>
    <x v="4"/>
    <x v="0"/>
    <x v="130"/>
  </r>
  <r>
    <x v="131"/>
    <s v="Patricia Brooks"/>
    <x v="1"/>
    <x v="8"/>
    <n v="3"/>
    <n v="1772.6"/>
    <x v="0"/>
    <n v="5317.8"/>
    <x v="119"/>
    <x v="1"/>
    <x v="0"/>
    <x v="131"/>
  </r>
  <r>
    <x v="132"/>
    <s v="Maurice Reynolds"/>
    <x v="0"/>
    <x v="15"/>
    <n v="2"/>
    <n v="2793.89"/>
    <x v="0"/>
    <n v="5587.78"/>
    <x v="120"/>
    <x v="3"/>
    <x v="0"/>
    <x v="132"/>
  </r>
  <r>
    <x v="133"/>
    <s v="Tonya Kirby"/>
    <x v="4"/>
    <x v="21"/>
    <n v="5"/>
    <n v="776.98"/>
    <x v="0"/>
    <n v="3884.9"/>
    <x v="121"/>
    <x v="0"/>
    <x v="2"/>
    <x v="133"/>
  </r>
  <r>
    <x v="134"/>
    <s v="Meredith Murphy"/>
    <x v="2"/>
    <x v="14"/>
    <n v="1"/>
    <n v="1339.18"/>
    <x v="0"/>
    <n v="1339.18"/>
    <x v="122"/>
    <x v="1"/>
    <x v="2"/>
    <x v="134"/>
  </r>
  <r>
    <x v="135"/>
    <s v="Christopher Burgess"/>
    <x v="5"/>
    <x v="17"/>
    <n v="1"/>
    <n v="3114.13"/>
    <x v="0"/>
    <n v="3114.13"/>
    <x v="123"/>
    <x v="4"/>
    <x v="0"/>
    <x v="135"/>
  </r>
  <r>
    <x v="136"/>
    <s v="Bruce Brown"/>
    <x v="2"/>
    <x v="14"/>
    <n v="6"/>
    <n v="2357.6999999999998"/>
    <x v="0"/>
    <n v="14146.2"/>
    <x v="124"/>
    <x v="2"/>
    <x v="1"/>
    <x v="136"/>
  </r>
  <r>
    <x v="137"/>
    <s v="Rodney Lee"/>
    <x v="2"/>
    <x v="2"/>
    <n v="6"/>
    <n v="3661.49"/>
    <x v="30"/>
    <n v="19552.36"/>
    <x v="125"/>
    <x v="4"/>
    <x v="1"/>
    <x v="137"/>
  </r>
  <r>
    <x v="138"/>
    <s v="Connie Wilson"/>
    <x v="1"/>
    <x v="8"/>
    <n v="2"/>
    <n v="2533.37"/>
    <x v="0"/>
    <n v="5066.74"/>
    <x v="70"/>
    <x v="1"/>
    <x v="2"/>
    <x v="138"/>
  </r>
  <r>
    <x v="139"/>
    <s v="Michelle Walsh"/>
    <x v="2"/>
    <x v="14"/>
    <n v="5"/>
    <n v="804.78"/>
    <x v="0"/>
    <n v="4023.9"/>
    <x v="28"/>
    <x v="2"/>
    <x v="1"/>
    <x v="139"/>
  </r>
  <r>
    <x v="140"/>
    <s v="Tim Dean"/>
    <x v="5"/>
    <x v="16"/>
    <n v="4"/>
    <n v="643.24"/>
    <x v="0"/>
    <n v="2572.96"/>
    <x v="62"/>
    <x v="2"/>
    <x v="2"/>
    <x v="140"/>
  </r>
  <r>
    <x v="141"/>
    <s v="Anna Rogers"/>
    <x v="1"/>
    <x v="1"/>
    <n v="2"/>
    <n v="2390.4299999999998"/>
    <x v="31"/>
    <n v="3107.56"/>
    <x v="126"/>
    <x v="5"/>
    <x v="1"/>
    <x v="141"/>
  </r>
  <r>
    <x v="142"/>
    <s v="Miss Angela Webb"/>
    <x v="2"/>
    <x v="14"/>
    <n v="2"/>
    <n v="2315.7800000000002"/>
    <x v="0"/>
    <n v="4631.5600000000004"/>
    <x v="127"/>
    <x v="2"/>
    <x v="1"/>
    <x v="142"/>
  </r>
  <r>
    <x v="143"/>
    <s v="Sean Smith"/>
    <x v="1"/>
    <x v="12"/>
    <n v="1"/>
    <n v="2787.46"/>
    <x v="17"/>
    <n v="223"/>
    <x v="128"/>
    <x v="0"/>
    <x v="0"/>
    <x v="143"/>
  </r>
  <r>
    <x v="144"/>
    <s v="Janet Murray MD"/>
    <x v="1"/>
    <x v="8"/>
    <n v="2"/>
    <n v="1369.81"/>
    <x v="32"/>
    <n v="904.07"/>
    <x v="129"/>
    <x v="4"/>
    <x v="0"/>
    <x v="144"/>
  </r>
  <r>
    <x v="145"/>
    <s v="Thomas Shepard"/>
    <x v="3"/>
    <x v="10"/>
    <n v="2"/>
    <n v="4375.7"/>
    <x v="33"/>
    <n v="787.63"/>
    <x v="130"/>
    <x v="1"/>
    <x v="0"/>
    <x v="145"/>
  </r>
  <r>
    <x v="146"/>
    <s v="Mary Hill"/>
    <x v="5"/>
    <x v="11"/>
    <n v="1"/>
    <n v="1426.73"/>
    <x v="0"/>
    <n v="1426.73"/>
    <x v="75"/>
    <x v="4"/>
    <x v="2"/>
    <x v="146"/>
  </r>
  <r>
    <x v="147"/>
    <s v="Danny Ayers"/>
    <x v="2"/>
    <x v="2"/>
    <n v="1"/>
    <n v="1203.45"/>
    <x v="0"/>
    <n v="1203.45"/>
    <x v="131"/>
    <x v="5"/>
    <x v="2"/>
    <x v="147"/>
  </r>
  <r>
    <x v="148"/>
    <s v="Manuel Carter"/>
    <x v="2"/>
    <x v="14"/>
    <n v="1"/>
    <n v="1010.48"/>
    <x v="0"/>
    <n v="1010.48"/>
    <x v="132"/>
    <x v="3"/>
    <x v="2"/>
    <x v="148"/>
  </r>
  <r>
    <x v="149"/>
    <s v="Thomas Howard"/>
    <x v="4"/>
    <x v="21"/>
    <n v="5"/>
    <n v="2567.59"/>
    <x v="0"/>
    <n v="12837.95"/>
    <x v="133"/>
    <x v="5"/>
    <x v="2"/>
    <x v="149"/>
  </r>
  <r>
    <x v="150"/>
    <s v="Christopher Ortiz"/>
    <x v="0"/>
    <x v="15"/>
    <n v="1"/>
    <n v="1966.21"/>
    <x v="0"/>
    <n v="1966.21"/>
    <x v="134"/>
    <x v="1"/>
    <x v="1"/>
    <x v="150"/>
  </r>
  <r>
    <x v="151"/>
    <s v="Casey Mathews"/>
    <x v="4"/>
    <x v="5"/>
    <n v="1"/>
    <n v="3630.24"/>
    <x v="0"/>
    <n v="3630.24"/>
    <x v="29"/>
    <x v="2"/>
    <x v="1"/>
    <x v="151"/>
  </r>
  <r>
    <x v="152"/>
    <s v="Heidi Ward"/>
    <x v="1"/>
    <x v="8"/>
    <n v="1"/>
    <n v="3989.68"/>
    <x v="0"/>
    <n v="3989.68"/>
    <x v="30"/>
    <x v="0"/>
    <x v="2"/>
    <x v="152"/>
  </r>
  <r>
    <x v="153"/>
    <s v="Susan Davis"/>
    <x v="1"/>
    <x v="9"/>
    <n v="2"/>
    <n v="1435.85"/>
    <x v="0"/>
    <n v="2871.7"/>
    <x v="135"/>
    <x v="3"/>
    <x v="0"/>
    <x v="153"/>
  </r>
  <r>
    <x v="154"/>
    <s v="Matthew Gibson"/>
    <x v="2"/>
    <x v="3"/>
    <n v="2"/>
    <n v="1797.91"/>
    <x v="0"/>
    <n v="3595.82"/>
    <x v="136"/>
    <x v="2"/>
    <x v="2"/>
    <x v="154"/>
  </r>
  <r>
    <x v="155"/>
    <s v="Laura Anderson"/>
    <x v="2"/>
    <x v="3"/>
    <n v="2"/>
    <n v="3954.73"/>
    <x v="34"/>
    <n v="5536.62"/>
    <x v="137"/>
    <x v="1"/>
    <x v="1"/>
    <x v="155"/>
  </r>
  <r>
    <x v="156"/>
    <s v="Todd Edwards"/>
    <x v="3"/>
    <x v="20"/>
    <n v="4"/>
    <n v="4220.2"/>
    <x v="0"/>
    <n v="16880.8"/>
    <x v="138"/>
    <x v="5"/>
    <x v="2"/>
    <x v="156"/>
  </r>
  <r>
    <x v="157"/>
    <s v="Vanessa Hale"/>
    <x v="1"/>
    <x v="8"/>
    <n v="5"/>
    <n v="2734.95"/>
    <x v="35"/>
    <n v="11350.04"/>
    <x v="139"/>
    <x v="0"/>
    <x v="2"/>
    <x v="157"/>
  </r>
  <r>
    <x v="158"/>
    <s v="Larry Kent"/>
    <x v="3"/>
    <x v="19"/>
    <n v="1"/>
    <n v="1354.69"/>
    <x v="0"/>
    <n v="1354.69"/>
    <x v="110"/>
    <x v="3"/>
    <x v="2"/>
    <x v="158"/>
  </r>
  <r>
    <x v="159"/>
    <s v="Amanda Jones"/>
    <x v="5"/>
    <x v="17"/>
    <n v="6"/>
    <n v="3080.12"/>
    <x v="22"/>
    <n v="13675.73"/>
    <x v="140"/>
    <x v="3"/>
    <x v="2"/>
    <x v="159"/>
  </r>
  <r>
    <x v="160"/>
    <s v="Robert Fletcher"/>
    <x v="1"/>
    <x v="9"/>
    <n v="1"/>
    <n v="1120.52"/>
    <x v="0"/>
    <n v="1120.52"/>
    <x v="141"/>
    <x v="3"/>
    <x v="0"/>
    <x v="160"/>
  </r>
  <r>
    <x v="161"/>
    <s v="Eric Armstrong"/>
    <x v="5"/>
    <x v="17"/>
    <n v="2"/>
    <n v="1234.27"/>
    <x v="0"/>
    <n v="2468.54"/>
    <x v="142"/>
    <x v="4"/>
    <x v="0"/>
    <x v="161"/>
  </r>
  <r>
    <x v="162"/>
    <s v="John Carroll Jr."/>
    <x v="3"/>
    <x v="4"/>
    <n v="3"/>
    <n v="4971.74"/>
    <x v="0"/>
    <n v="14915.22"/>
    <x v="143"/>
    <x v="1"/>
    <x v="1"/>
    <x v="162"/>
  </r>
  <r>
    <x v="163"/>
    <s v="Christopher Taylor"/>
    <x v="5"/>
    <x v="17"/>
    <n v="3"/>
    <n v="1193.03"/>
    <x v="0"/>
    <n v="3579.09"/>
    <x v="144"/>
    <x v="0"/>
    <x v="0"/>
    <x v="163"/>
  </r>
  <r>
    <x v="164"/>
    <s v="John Sanchez"/>
    <x v="3"/>
    <x v="20"/>
    <n v="4"/>
    <n v="2975.64"/>
    <x v="0"/>
    <n v="11902.56"/>
    <x v="145"/>
    <x v="3"/>
    <x v="1"/>
    <x v="164"/>
  </r>
  <r>
    <x v="165"/>
    <s v="Andrea Jones"/>
    <x v="4"/>
    <x v="6"/>
    <n v="4"/>
    <n v="3590.4"/>
    <x v="0"/>
    <n v="14361.6"/>
    <x v="146"/>
    <x v="1"/>
    <x v="1"/>
    <x v="165"/>
  </r>
  <r>
    <x v="166"/>
    <s v="Frank Garcia MD"/>
    <x v="0"/>
    <x v="0"/>
    <n v="6"/>
    <n v="4068.82"/>
    <x v="0"/>
    <n v="24412.92"/>
    <x v="147"/>
    <x v="2"/>
    <x v="0"/>
    <x v="166"/>
  </r>
  <r>
    <x v="167"/>
    <s v="Amy Parker"/>
    <x v="1"/>
    <x v="8"/>
    <n v="1"/>
    <n v="1528.94"/>
    <x v="32"/>
    <n v="504.55"/>
    <x v="109"/>
    <x v="5"/>
    <x v="0"/>
    <x v="167"/>
  </r>
  <r>
    <x v="168"/>
    <s v="Brandon Mccormick"/>
    <x v="1"/>
    <x v="8"/>
    <n v="1"/>
    <n v="3643.63"/>
    <x v="36"/>
    <n v="2951.34"/>
    <x v="148"/>
    <x v="0"/>
    <x v="2"/>
    <x v="168"/>
  </r>
  <r>
    <x v="169"/>
    <s v="Brenda Graham"/>
    <x v="3"/>
    <x v="19"/>
    <n v="4"/>
    <n v="4312.21"/>
    <x v="0"/>
    <n v="17248.84"/>
    <x v="149"/>
    <x v="5"/>
    <x v="2"/>
    <x v="169"/>
  </r>
  <r>
    <x v="170"/>
    <s v="Jacob Morris"/>
    <x v="3"/>
    <x v="19"/>
    <n v="3"/>
    <n v="3952.46"/>
    <x v="37"/>
    <n v="2134.33"/>
    <x v="150"/>
    <x v="1"/>
    <x v="2"/>
    <x v="170"/>
  </r>
  <r>
    <x v="171"/>
    <s v="Kristen Gutierrez"/>
    <x v="2"/>
    <x v="2"/>
    <n v="2"/>
    <n v="1209.8"/>
    <x v="0"/>
    <n v="2419.6"/>
    <x v="151"/>
    <x v="1"/>
    <x v="1"/>
    <x v="171"/>
  </r>
  <r>
    <x v="172"/>
    <s v="Emily Chambers"/>
    <x v="3"/>
    <x v="19"/>
    <n v="3"/>
    <n v="662.52"/>
    <x v="14"/>
    <n v="79.5"/>
    <x v="136"/>
    <x v="1"/>
    <x v="0"/>
    <x v="172"/>
  </r>
  <r>
    <x v="173"/>
    <s v="Jacob Curry"/>
    <x v="0"/>
    <x v="18"/>
    <n v="1"/>
    <n v="906.82"/>
    <x v="17"/>
    <n v="72.55"/>
    <x v="139"/>
    <x v="2"/>
    <x v="1"/>
    <x v="173"/>
  </r>
  <r>
    <x v="174"/>
    <s v="Michelle Anderson"/>
    <x v="0"/>
    <x v="0"/>
    <n v="6"/>
    <n v="4954.67"/>
    <x v="0"/>
    <n v="29728.02"/>
    <x v="152"/>
    <x v="3"/>
    <x v="1"/>
    <x v="174"/>
  </r>
  <r>
    <x v="175"/>
    <s v="Courtney Wright"/>
    <x v="2"/>
    <x v="2"/>
    <n v="3"/>
    <n v="3887.5"/>
    <x v="0"/>
    <n v="11662.5"/>
    <x v="50"/>
    <x v="5"/>
    <x v="1"/>
    <x v="175"/>
  </r>
  <r>
    <x v="176"/>
    <s v="Regina Rodriguez"/>
    <x v="3"/>
    <x v="20"/>
    <n v="1"/>
    <n v="4854.03"/>
    <x v="0"/>
    <n v="4854.03"/>
    <x v="153"/>
    <x v="2"/>
    <x v="1"/>
    <x v="176"/>
  </r>
  <r>
    <x v="177"/>
    <s v="Lisa Ford"/>
    <x v="4"/>
    <x v="5"/>
    <n v="4"/>
    <n v="2403.9499999999998"/>
    <x v="0"/>
    <n v="9615.7999999999993"/>
    <x v="17"/>
    <x v="0"/>
    <x v="2"/>
    <x v="177"/>
  </r>
  <r>
    <x v="178"/>
    <s v="Robert Cline"/>
    <x v="5"/>
    <x v="13"/>
    <n v="1"/>
    <n v="2170.71"/>
    <x v="38"/>
    <n v="911.7"/>
    <x v="154"/>
    <x v="1"/>
    <x v="1"/>
    <x v="178"/>
  </r>
  <r>
    <x v="179"/>
    <s v="Alexander Costa Jr."/>
    <x v="2"/>
    <x v="3"/>
    <n v="1"/>
    <n v="3445.9"/>
    <x v="39"/>
    <n v="654.72"/>
    <x v="155"/>
    <x v="0"/>
    <x v="0"/>
    <x v="179"/>
  </r>
  <r>
    <x v="180"/>
    <s v="Debra Wilcox"/>
    <x v="3"/>
    <x v="20"/>
    <n v="1"/>
    <n v="4604.8500000000004"/>
    <x v="40"/>
    <n v="3960.17"/>
    <x v="156"/>
    <x v="3"/>
    <x v="1"/>
    <x v="180"/>
  </r>
  <r>
    <x v="181"/>
    <s v="Marcus Harris"/>
    <x v="4"/>
    <x v="21"/>
    <n v="1"/>
    <n v="4808.3500000000004"/>
    <x v="0"/>
    <n v="4808.3500000000004"/>
    <x v="157"/>
    <x v="2"/>
    <x v="1"/>
    <x v="181"/>
  </r>
  <r>
    <x v="182"/>
    <s v="Andrew Trevino"/>
    <x v="1"/>
    <x v="1"/>
    <n v="6"/>
    <n v="4450.17"/>
    <x v="0"/>
    <n v="26701.02"/>
    <x v="158"/>
    <x v="2"/>
    <x v="1"/>
    <x v="182"/>
  </r>
  <r>
    <x v="183"/>
    <s v="Lauren Cook"/>
    <x v="1"/>
    <x v="12"/>
    <n v="6"/>
    <n v="2755.37"/>
    <x v="0"/>
    <n v="16532.22"/>
    <x v="105"/>
    <x v="5"/>
    <x v="2"/>
    <x v="183"/>
  </r>
  <r>
    <x v="184"/>
    <s v="Julian Nielsen"/>
    <x v="5"/>
    <x v="13"/>
    <n v="2"/>
    <n v="4478.08"/>
    <x v="0"/>
    <n v="8956.16"/>
    <x v="38"/>
    <x v="4"/>
    <x v="1"/>
    <x v="184"/>
  </r>
  <r>
    <x v="185"/>
    <s v="Johnny Doyle"/>
    <x v="1"/>
    <x v="12"/>
    <n v="1"/>
    <n v="2854.4"/>
    <x v="0"/>
    <n v="2854.4"/>
    <x v="70"/>
    <x v="1"/>
    <x v="2"/>
    <x v="185"/>
  </r>
  <r>
    <x v="186"/>
    <s v="Thomas Murillo"/>
    <x v="3"/>
    <x v="4"/>
    <n v="1"/>
    <n v="2710.56"/>
    <x v="0"/>
    <n v="2710.56"/>
    <x v="159"/>
    <x v="5"/>
    <x v="1"/>
    <x v="186"/>
  </r>
  <r>
    <x v="187"/>
    <s v="Martin Lynch"/>
    <x v="0"/>
    <x v="15"/>
    <n v="4"/>
    <n v="2540.1"/>
    <x v="41"/>
    <n v="3149.72"/>
    <x v="127"/>
    <x v="0"/>
    <x v="2"/>
    <x v="187"/>
  </r>
  <r>
    <x v="188"/>
    <s v="Laura Perez"/>
    <x v="2"/>
    <x v="14"/>
    <n v="6"/>
    <n v="3064.21"/>
    <x v="0"/>
    <n v="18385.259999999998"/>
    <x v="160"/>
    <x v="5"/>
    <x v="2"/>
    <x v="188"/>
  </r>
  <r>
    <x v="189"/>
    <s v="Mark Henderson"/>
    <x v="5"/>
    <x v="13"/>
    <n v="6"/>
    <n v="3294.21"/>
    <x v="18"/>
    <n v="2174.1799999999998"/>
    <x v="161"/>
    <x v="4"/>
    <x v="2"/>
    <x v="189"/>
  </r>
  <r>
    <x v="190"/>
    <s v="Theresa Stone"/>
    <x v="3"/>
    <x v="20"/>
    <n v="4"/>
    <n v="1405.39"/>
    <x v="0"/>
    <n v="5621.56"/>
    <x v="162"/>
    <x v="1"/>
    <x v="2"/>
    <x v="190"/>
  </r>
  <r>
    <x v="191"/>
    <s v="Shawn Martinez"/>
    <x v="3"/>
    <x v="20"/>
    <n v="2"/>
    <n v="2440.38"/>
    <x v="0"/>
    <n v="4880.76"/>
    <x v="163"/>
    <x v="1"/>
    <x v="0"/>
    <x v="191"/>
  </r>
  <r>
    <x v="192"/>
    <s v="April Ward"/>
    <x v="2"/>
    <x v="14"/>
    <n v="4"/>
    <n v="1529.48"/>
    <x v="0"/>
    <n v="6117.92"/>
    <x v="164"/>
    <x v="0"/>
    <x v="2"/>
    <x v="192"/>
  </r>
  <r>
    <x v="193"/>
    <s v="Raymond Floyd"/>
    <x v="3"/>
    <x v="20"/>
    <n v="2"/>
    <n v="2967.49"/>
    <x v="0"/>
    <n v="5934.98"/>
    <x v="165"/>
    <x v="4"/>
    <x v="1"/>
    <x v="193"/>
  </r>
  <r>
    <x v="194"/>
    <s v="Heather Walsh"/>
    <x v="5"/>
    <x v="11"/>
    <n v="1"/>
    <n v="3508.21"/>
    <x v="42"/>
    <n v="1333.12"/>
    <x v="166"/>
    <x v="1"/>
    <x v="0"/>
    <x v="194"/>
  </r>
  <r>
    <x v="195"/>
    <s v="Gregory Kennedy"/>
    <x v="3"/>
    <x v="19"/>
    <n v="5"/>
    <n v="1378.76"/>
    <x v="36"/>
    <n v="5583.98"/>
    <x v="167"/>
    <x v="0"/>
    <x v="0"/>
    <x v="195"/>
  </r>
  <r>
    <x v="196"/>
    <s v="Robert Nelson"/>
    <x v="2"/>
    <x v="14"/>
    <n v="1"/>
    <n v="1289.24"/>
    <x v="0"/>
    <n v="1289.24"/>
    <x v="168"/>
    <x v="0"/>
    <x v="0"/>
    <x v="196"/>
  </r>
  <r>
    <x v="197"/>
    <s v="Susan Gonzalez"/>
    <x v="2"/>
    <x v="7"/>
    <n v="1"/>
    <n v="1095.03"/>
    <x v="0"/>
    <n v="1095.03"/>
    <x v="169"/>
    <x v="2"/>
    <x v="2"/>
    <x v="197"/>
  </r>
  <r>
    <x v="198"/>
    <s v="Christopher Hawkins"/>
    <x v="2"/>
    <x v="2"/>
    <n v="2"/>
    <n v="4922.99"/>
    <x v="0"/>
    <n v="9845.98"/>
    <x v="129"/>
    <x v="1"/>
    <x v="0"/>
    <x v="198"/>
  </r>
  <r>
    <x v="199"/>
    <s v="Victoria Greene"/>
    <x v="1"/>
    <x v="8"/>
    <n v="1"/>
    <n v="3148.46"/>
    <x v="0"/>
    <n v="3148.46"/>
    <x v="170"/>
    <x v="1"/>
    <x v="0"/>
    <x v="199"/>
  </r>
  <r>
    <x v="200"/>
    <s v="Catherine Young"/>
    <x v="2"/>
    <x v="14"/>
    <n v="5"/>
    <n v="509.54"/>
    <x v="0"/>
    <n v="2547.6999999999998"/>
    <x v="24"/>
    <x v="5"/>
    <x v="2"/>
    <x v="200"/>
  </r>
  <r>
    <x v="201"/>
    <s v="Kara Waller"/>
    <x v="2"/>
    <x v="2"/>
    <n v="1"/>
    <n v="3640.29"/>
    <x v="43"/>
    <n v="509.64"/>
    <x v="171"/>
    <x v="3"/>
    <x v="2"/>
    <x v="201"/>
  </r>
  <r>
    <x v="202"/>
    <s v="Aaron Molina"/>
    <x v="1"/>
    <x v="12"/>
    <n v="6"/>
    <n v="429.37"/>
    <x v="0"/>
    <n v="2576.2199999999998"/>
    <x v="172"/>
    <x v="0"/>
    <x v="0"/>
    <x v="202"/>
  </r>
  <r>
    <x v="203"/>
    <s v="Javier Sloan"/>
    <x v="1"/>
    <x v="12"/>
    <n v="3"/>
    <n v="500.41"/>
    <x v="0"/>
    <n v="1501.23"/>
    <x v="173"/>
    <x v="0"/>
    <x v="1"/>
    <x v="203"/>
  </r>
  <r>
    <x v="204"/>
    <s v="Charles Ray"/>
    <x v="1"/>
    <x v="1"/>
    <n v="3"/>
    <n v="4467.25"/>
    <x v="0"/>
    <n v="13401.75"/>
    <x v="49"/>
    <x v="3"/>
    <x v="1"/>
    <x v="204"/>
  </r>
  <r>
    <x v="205"/>
    <s v="David Mitchell"/>
    <x v="4"/>
    <x v="21"/>
    <n v="4"/>
    <n v="4458.4799999999996"/>
    <x v="0"/>
    <n v="17833.919999999998"/>
    <x v="174"/>
    <x v="1"/>
    <x v="0"/>
    <x v="205"/>
  </r>
  <r>
    <x v="206"/>
    <s v="Daniel Greer"/>
    <x v="0"/>
    <x v="22"/>
    <n v="6"/>
    <n v="2188.7399999999998"/>
    <x v="0"/>
    <n v="13132.44"/>
    <x v="175"/>
    <x v="1"/>
    <x v="2"/>
    <x v="206"/>
  </r>
  <r>
    <x v="207"/>
    <s v="Eric Hoffman"/>
    <x v="0"/>
    <x v="22"/>
    <n v="3"/>
    <n v="1625.58"/>
    <x v="44"/>
    <n v="4389.07"/>
    <x v="156"/>
    <x v="4"/>
    <x v="1"/>
    <x v="207"/>
  </r>
  <r>
    <x v="208"/>
    <s v="Adrienne Anderson MD"/>
    <x v="5"/>
    <x v="17"/>
    <n v="3"/>
    <n v="4550.95"/>
    <x v="0"/>
    <n v="13652.85"/>
    <x v="176"/>
    <x v="2"/>
    <x v="1"/>
    <x v="208"/>
  </r>
  <r>
    <x v="209"/>
    <s v="David Snyder"/>
    <x v="0"/>
    <x v="18"/>
    <n v="5"/>
    <n v="753.85"/>
    <x v="0"/>
    <n v="3769.25"/>
    <x v="177"/>
    <x v="5"/>
    <x v="2"/>
    <x v="209"/>
  </r>
  <r>
    <x v="210"/>
    <s v="Amy Frederick"/>
    <x v="2"/>
    <x v="7"/>
    <n v="2"/>
    <n v="3643.5"/>
    <x v="0"/>
    <n v="7287"/>
    <x v="70"/>
    <x v="5"/>
    <x v="0"/>
    <x v="210"/>
  </r>
  <r>
    <x v="211"/>
    <s v="Kayla Peters"/>
    <x v="5"/>
    <x v="13"/>
    <n v="2"/>
    <n v="2159.6799999999998"/>
    <x v="0"/>
    <n v="4319.3599999999997"/>
    <x v="178"/>
    <x v="4"/>
    <x v="1"/>
    <x v="211"/>
  </r>
  <r>
    <x v="212"/>
    <s v="Rebekah Parker"/>
    <x v="1"/>
    <x v="8"/>
    <n v="2"/>
    <n v="1832.16"/>
    <x v="0"/>
    <n v="3664.32"/>
    <x v="179"/>
    <x v="0"/>
    <x v="2"/>
    <x v="212"/>
  </r>
  <r>
    <x v="213"/>
    <s v="Ashley Harrison"/>
    <x v="5"/>
    <x v="11"/>
    <n v="4"/>
    <n v="4411.3900000000003"/>
    <x v="0"/>
    <n v="17645.560000000001"/>
    <x v="180"/>
    <x v="3"/>
    <x v="1"/>
    <x v="213"/>
  </r>
  <r>
    <x v="214"/>
    <s v="James Day"/>
    <x v="1"/>
    <x v="1"/>
    <n v="5"/>
    <n v="2476.15"/>
    <x v="0"/>
    <n v="12380.75"/>
    <x v="181"/>
    <x v="4"/>
    <x v="2"/>
    <x v="214"/>
  </r>
  <r>
    <x v="215"/>
    <s v="Sean Tran"/>
    <x v="4"/>
    <x v="21"/>
    <n v="5"/>
    <n v="1510.89"/>
    <x v="0"/>
    <n v="7554.45"/>
    <x v="86"/>
    <x v="1"/>
    <x v="0"/>
    <x v="215"/>
  </r>
  <r>
    <x v="216"/>
    <s v="Melissa Clark"/>
    <x v="1"/>
    <x v="1"/>
    <n v="1"/>
    <n v="4193.1000000000004"/>
    <x v="0"/>
    <n v="4193.1000000000004"/>
    <x v="182"/>
    <x v="3"/>
    <x v="2"/>
    <x v="216"/>
  </r>
  <r>
    <x v="217"/>
    <s v="Erin Cook"/>
    <x v="4"/>
    <x v="5"/>
    <n v="1"/>
    <n v="4981.8599999999997"/>
    <x v="0"/>
    <n v="4981.8599999999997"/>
    <x v="183"/>
    <x v="4"/>
    <x v="1"/>
    <x v="217"/>
  </r>
  <r>
    <x v="218"/>
    <s v="Ronald Cohen"/>
    <x v="3"/>
    <x v="4"/>
    <n v="6"/>
    <n v="1773.3"/>
    <x v="0"/>
    <n v="10639.8"/>
    <x v="57"/>
    <x v="3"/>
    <x v="1"/>
    <x v="218"/>
  </r>
  <r>
    <x v="219"/>
    <s v="Elizabeth Rice"/>
    <x v="5"/>
    <x v="11"/>
    <n v="2"/>
    <n v="3333.87"/>
    <x v="0"/>
    <n v="6667.74"/>
    <x v="38"/>
    <x v="2"/>
    <x v="1"/>
    <x v="219"/>
  </r>
  <r>
    <x v="220"/>
    <s v="Jon Hernandez"/>
    <x v="5"/>
    <x v="16"/>
    <n v="2"/>
    <n v="3157.28"/>
    <x v="2"/>
    <n v="5872.54"/>
    <x v="184"/>
    <x v="3"/>
    <x v="1"/>
    <x v="220"/>
  </r>
  <r>
    <x v="221"/>
    <s v="David Alvarez"/>
    <x v="0"/>
    <x v="0"/>
    <n v="1"/>
    <n v="4225.58"/>
    <x v="0"/>
    <n v="4225.58"/>
    <x v="185"/>
    <x v="3"/>
    <x v="0"/>
    <x v="221"/>
  </r>
  <r>
    <x v="222"/>
    <s v="John Perry"/>
    <x v="5"/>
    <x v="13"/>
    <n v="2"/>
    <n v="2123.2199999999998"/>
    <x v="0"/>
    <n v="4246.4399999999996"/>
    <x v="22"/>
    <x v="0"/>
    <x v="1"/>
    <x v="222"/>
  </r>
  <r>
    <x v="223"/>
    <s v="Cindy Zamora"/>
    <x v="4"/>
    <x v="23"/>
    <n v="5"/>
    <n v="688.38"/>
    <x v="0"/>
    <n v="3441.9"/>
    <x v="186"/>
    <x v="1"/>
    <x v="1"/>
    <x v="223"/>
  </r>
  <r>
    <x v="224"/>
    <s v="Darren Bailey"/>
    <x v="5"/>
    <x v="16"/>
    <n v="1"/>
    <n v="3607.5"/>
    <x v="0"/>
    <n v="3607.5"/>
    <x v="187"/>
    <x v="2"/>
    <x v="0"/>
    <x v="224"/>
  </r>
  <r>
    <x v="225"/>
    <s v="Wanda Medina"/>
    <x v="0"/>
    <x v="0"/>
    <n v="4"/>
    <n v="2043.67"/>
    <x v="0"/>
    <n v="8174.68"/>
    <x v="188"/>
    <x v="4"/>
    <x v="2"/>
    <x v="225"/>
  </r>
  <r>
    <x v="226"/>
    <s v="Heather Taylor"/>
    <x v="3"/>
    <x v="20"/>
    <n v="2"/>
    <n v="4638.76"/>
    <x v="0"/>
    <n v="9277.52"/>
    <x v="189"/>
    <x v="3"/>
    <x v="1"/>
    <x v="226"/>
  </r>
  <r>
    <x v="227"/>
    <s v="Jeff Dorsey"/>
    <x v="1"/>
    <x v="12"/>
    <n v="1"/>
    <n v="1258.77"/>
    <x v="15"/>
    <n v="365.04"/>
    <x v="94"/>
    <x v="3"/>
    <x v="0"/>
    <x v="227"/>
  </r>
  <r>
    <x v="228"/>
    <s v="Ashley Martin"/>
    <x v="2"/>
    <x v="14"/>
    <n v="1"/>
    <n v="1927.87"/>
    <x v="0"/>
    <n v="1927.87"/>
    <x v="97"/>
    <x v="5"/>
    <x v="0"/>
    <x v="228"/>
  </r>
  <r>
    <x v="229"/>
    <s v="Selena Johnson"/>
    <x v="1"/>
    <x v="9"/>
    <n v="6"/>
    <n v="773.28"/>
    <x v="0"/>
    <n v="4639.68"/>
    <x v="157"/>
    <x v="4"/>
    <x v="1"/>
    <x v="229"/>
  </r>
  <r>
    <x v="230"/>
    <s v="Russell King"/>
    <x v="3"/>
    <x v="19"/>
    <n v="4"/>
    <n v="2847.02"/>
    <x v="11"/>
    <n v="4896.87"/>
    <x v="190"/>
    <x v="4"/>
    <x v="1"/>
    <x v="230"/>
  </r>
  <r>
    <x v="231"/>
    <s v="Ricky Nelson"/>
    <x v="4"/>
    <x v="5"/>
    <n v="2"/>
    <n v="816.33"/>
    <x v="0"/>
    <n v="1632.66"/>
    <x v="191"/>
    <x v="0"/>
    <x v="2"/>
    <x v="231"/>
  </r>
  <r>
    <x v="232"/>
    <s v="Kevin Allison"/>
    <x v="4"/>
    <x v="21"/>
    <n v="4"/>
    <n v="3501.9"/>
    <x v="0"/>
    <n v="14007.6"/>
    <x v="192"/>
    <x v="3"/>
    <x v="1"/>
    <x v="232"/>
  </r>
  <r>
    <x v="233"/>
    <s v="Traci Jennings"/>
    <x v="4"/>
    <x v="21"/>
    <n v="1"/>
    <n v="3574.54"/>
    <x v="0"/>
    <n v="3574.54"/>
    <x v="193"/>
    <x v="0"/>
    <x v="2"/>
    <x v="233"/>
  </r>
  <r>
    <x v="234"/>
    <s v="Colin Osborne"/>
    <x v="3"/>
    <x v="19"/>
    <n v="6"/>
    <n v="2319.23"/>
    <x v="0"/>
    <n v="13915.38"/>
    <x v="194"/>
    <x v="2"/>
    <x v="2"/>
    <x v="234"/>
  </r>
  <r>
    <x v="235"/>
    <s v="Anthony Love"/>
    <x v="0"/>
    <x v="15"/>
    <n v="1"/>
    <n v="1463.64"/>
    <x v="0"/>
    <n v="1463.64"/>
    <x v="101"/>
    <x v="3"/>
    <x v="2"/>
    <x v="235"/>
  </r>
  <r>
    <x v="236"/>
    <s v="Raymond Mcdonald"/>
    <x v="4"/>
    <x v="6"/>
    <n v="1"/>
    <n v="4482.08"/>
    <x v="0"/>
    <n v="4482.08"/>
    <x v="70"/>
    <x v="1"/>
    <x v="1"/>
    <x v="236"/>
  </r>
  <r>
    <x v="237"/>
    <s v="Tamara Hopkins"/>
    <x v="1"/>
    <x v="12"/>
    <n v="6"/>
    <n v="2355.2800000000002"/>
    <x v="0"/>
    <n v="14131.68"/>
    <x v="194"/>
    <x v="2"/>
    <x v="1"/>
    <x v="237"/>
  </r>
  <r>
    <x v="238"/>
    <s v="Julie Grant"/>
    <x v="3"/>
    <x v="19"/>
    <n v="2"/>
    <n v="3061.98"/>
    <x v="0"/>
    <n v="6123.96"/>
    <x v="195"/>
    <x v="2"/>
    <x v="1"/>
    <x v="238"/>
  </r>
  <r>
    <x v="239"/>
    <s v="James Thompson"/>
    <x v="1"/>
    <x v="12"/>
    <n v="2"/>
    <n v="2714.78"/>
    <x v="7"/>
    <n v="3149.14"/>
    <x v="113"/>
    <x v="2"/>
    <x v="0"/>
    <x v="239"/>
  </r>
  <r>
    <x v="240"/>
    <s v="Brian Young"/>
    <x v="2"/>
    <x v="3"/>
    <n v="1"/>
    <n v="609.05999999999995"/>
    <x v="35"/>
    <n v="505.52"/>
    <x v="196"/>
    <x v="2"/>
    <x v="2"/>
    <x v="240"/>
  </r>
  <r>
    <x v="241"/>
    <s v="Kristie Williams"/>
    <x v="1"/>
    <x v="9"/>
    <n v="5"/>
    <n v="4832.16"/>
    <x v="0"/>
    <n v="24160.799999999999"/>
    <x v="197"/>
    <x v="4"/>
    <x v="0"/>
    <x v="241"/>
  </r>
  <r>
    <x v="242"/>
    <s v="Angela Wiggins"/>
    <x v="1"/>
    <x v="9"/>
    <n v="1"/>
    <n v="2171.2199999999998"/>
    <x v="0"/>
    <n v="2171.2199999999998"/>
    <x v="198"/>
    <x v="1"/>
    <x v="0"/>
    <x v="242"/>
  </r>
  <r>
    <x v="243"/>
    <s v="Diana Buchanan"/>
    <x v="3"/>
    <x v="20"/>
    <n v="1"/>
    <n v="1636.26"/>
    <x v="5"/>
    <n v="98.18"/>
    <x v="28"/>
    <x v="3"/>
    <x v="1"/>
    <x v="243"/>
  </r>
  <r>
    <x v="244"/>
    <s v="Amanda Wolf"/>
    <x v="4"/>
    <x v="23"/>
    <n v="5"/>
    <n v="1606.99"/>
    <x v="0"/>
    <n v="8034.95"/>
    <x v="199"/>
    <x v="2"/>
    <x v="2"/>
    <x v="244"/>
  </r>
  <r>
    <x v="245"/>
    <s v="James Soto"/>
    <x v="5"/>
    <x v="16"/>
    <n v="2"/>
    <n v="1753.02"/>
    <x v="3"/>
    <n v="2699.65"/>
    <x v="189"/>
    <x v="4"/>
    <x v="1"/>
    <x v="245"/>
  </r>
  <r>
    <x v="246"/>
    <s v="Amy Riley"/>
    <x v="3"/>
    <x v="19"/>
    <n v="3"/>
    <n v="1006.98"/>
    <x v="0"/>
    <n v="3020.94"/>
    <x v="200"/>
    <x v="0"/>
    <x v="0"/>
    <x v="246"/>
  </r>
  <r>
    <x v="247"/>
    <s v="Sharon Reed"/>
    <x v="0"/>
    <x v="15"/>
    <n v="6"/>
    <n v="2012.14"/>
    <x v="0"/>
    <n v="12072.84"/>
    <x v="121"/>
    <x v="5"/>
    <x v="0"/>
    <x v="247"/>
  </r>
  <r>
    <x v="248"/>
    <s v="Richard Lopez"/>
    <x v="0"/>
    <x v="15"/>
    <n v="6"/>
    <n v="4720.2299999999996"/>
    <x v="41"/>
    <n v="8779.6299999999992"/>
    <x v="58"/>
    <x v="2"/>
    <x v="0"/>
    <x v="248"/>
  </r>
  <r>
    <x v="249"/>
    <s v="Andrew Sharp"/>
    <x v="0"/>
    <x v="18"/>
    <n v="1"/>
    <n v="1043.58"/>
    <x v="0"/>
    <n v="1043.58"/>
    <x v="7"/>
    <x v="3"/>
    <x v="0"/>
    <x v="249"/>
  </r>
  <r>
    <x v="250"/>
    <s v="Melissa Flowers"/>
    <x v="5"/>
    <x v="17"/>
    <n v="3"/>
    <n v="3838.55"/>
    <x v="33"/>
    <n v="1036.4100000000001"/>
    <x v="201"/>
    <x v="4"/>
    <x v="2"/>
    <x v="250"/>
  </r>
  <r>
    <x v="251"/>
    <s v="Joshua Warren"/>
    <x v="4"/>
    <x v="6"/>
    <n v="1"/>
    <n v="2718.51"/>
    <x v="0"/>
    <n v="2718.51"/>
    <x v="52"/>
    <x v="4"/>
    <x v="2"/>
    <x v="251"/>
  </r>
  <r>
    <x v="252"/>
    <s v="Jeff Holland"/>
    <x v="5"/>
    <x v="17"/>
    <n v="2"/>
    <n v="2212.25"/>
    <x v="31"/>
    <n v="2875.93"/>
    <x v="19"/>
    <x v="0"/>
    <x v="2"/>
    <x v="252"/>
  </r>
  <r>
    <x v="253"/>
    <s v="Jennifer Vargas"/>
    <x v="0"/>
    <x v="22"/>
    <n v="1"/>
    <n v="4770.92"/>
    <x v="0"/>
    <n v="4770.92"/>
    <x v="202"/>
    <x v="4"/>
    <x v="0"/>
    <x v="253"/>
  </r>
  <r>
    <x v="254"/>
    <s v="Kendra James MD"/>
    <x v="5"/>
    <x v="11"/>
    <n v="4"/>
    <n v="4777.51"/>
    <x v="0"/>
    <n v="19110.04"/>
    <x v="104"/>
    <x v="3"/>
    <x v="1"/>
    <x v="254"/>
  </r>
  <r>
    <x v="255"/>
    <s v="Crystal Campbell"/>
    <x v="5"/>
    <x v="16"/>
    <n v="1"/>
    <n v="2085.92"/>
    <x v="0"/>
    <n v="2085.92"/>
    <x v="203"/>
    <x v="1"/>
    <x v="2"/>
    <x v="255"/>
  </r>
  <r>
    <x v="256"/>
    <s v="Benjamin Hicks"/>
    <x v="5"/>
    <x v="13"/>
    <n v="4"/>
    <n v="4882.6899999999996"/>
    <x v="0"/>
    <n v="19530.759999999998"/>
    <x v="10"/>
    <x v="0"/>
    <x v="0"/>
    <x v="256"/>
  </r>
  <r>
    <x v="257"/>
    <s v="Lawrence Turner"/>
    <x v="2"/>
    <x v="7"/>
    <n v="3"/>
    <n v="909.31"/>
    <x v="0"/>
    <n v="2727.93"/>
    <x v="204"/>
    <x v="4"/>
    <x v="1"/>
    <x v="257"/>
  </r>
  <r>
    <x v="258"/>
    <s v="David Hawkins"/>
    <x v="0"/>
    <x v="0"/>
    <n v="1"/>
    <n v="1635.12"/>
    <x v="0"/>
    <n v="1635.12"/>
    <x v="156"/>
    <x v="0"/>
    <x v="0"/>
    <x v="258"/>
  </r>
  <r>
    <x v="259"/>
    <s v="Brianna Little"/>
    <x v="1"/>
    <x v="9"/>
    <n v="4"/>
    <n v="4316.8500000000004"/>
    <x v="0"/>
    <n v="17267.400000000001"/>
    <x v="205"/>
    <x v="2"/>
    <x v="1"/>
    <x v="259"/>
  </r>
  <r>
    <x v="260"/>
    <s v="Robert Gray"/>
    <x v="2"/>
    <x v="7"/>
    <n v="1"/>
    <n v="869.82"/>
    <x v="0"/>
    <n v="869.82"/>
    <x v="206"/>
    <x v="1"/>
    <x v="2"/>
    <x v="260"/>
  </r>
  <r>
    <x v="261"/>
    <s v="Rebekah Wolf"/>
    <x v="4"/>
    <x v="5"/>
    <n v="1"/>
    <n v="1369.29"/>
    <x v="0"/>
    <n v="1369.29"/>
    <x v="207"/>
    <x v="0"/>
    <x v="2"/>
    <x v="261"/>
  </r>
  <r>
    <x v="262"/>
    <s v="Laura Hernandez"/>
    <x v="5"/>
    <x v="16"/>
    <n v="4"/>
    <n v="3977.88"/>
    <x v="0"/>
    <n v="15911.52"/>
    <x v="187"/>
    <x v="2"/>
    <x v="2"/>
    <x v="262"/>
  </r>
  <r>
    <x v="263"/>
    <s v="Stephanie Jensen"/>
    <x v="5"/>
    <x v="11"/>
    <n v="3"/>
    <n v="4923.95"/>
    <x v="0"/>
    <n v="14771.85"/>
    <x v="208"/>
    <x v="4"/>
    <x v="0"/>
    <x v="263"/>
  </r>
  <r>
    <x v="264"/>
    <s v="Gerald Snow"/>
    <x v="5"/>
    <x v="17"/>
    <n v="1"/>
    <n v="3267.28"/>
    <x v="0"/>
    <n v="3267.28"/>
    <x v="42"/>
    <x v="1"/>
    <x v="0"/>
    <x v="264"/>
  </r>
  <r>
    <x v="265"/>
    <s v="Angela Miller"/>
    <x v="2"/>
    <x v="2"/>
    <n v="3"/>
    <n v="2675.27"/>
    <x v="45"/>
    <n v="4735.2299999999996"/>
    <x v="9"/>
    <x v="5"/>
    <x v="0"/>
    <x v="265"/>
  </r>
  <r>
    <x v="266"/>
    <s v="Scott Kent"/>
    <x v="5"/>
    <x v="13"/>
    <n v="2"/>
    <n v="4836.47"/>
    <x v="0"/>
    <n v="9672.94"/>
    <x v="209"/>
    <x v="2"/>
    <x v="2"/>
    <x v="266"/>
  </r>
  <r>
    <x v="267"/>
    <s v="Kaylee Wilkins"/>
    <x v="5"/>
    <x v="13"/>
    <n v="1"/>
    <n v="1257.81"/>
    <x v="0"/>
    <n v="1257.81"/>
    <x v="207"/>
    <x v="2"/>
    <x v="2"/>
    <x v="267"/>
  </r>
  <r>
    <x v="268"/>
    <s v="Benjamin Boyd"/>
    <x v="4"/>
    <x v="6"/>
    <n v="5"/>
    <n v="4418.75"/>
    <x v="0"/>
    <n v="22093.75"/>
    <x v="200"/>
    <x v="1"/>
    <x v="1"/>
    <x v="268"/>
  </r>
  <r>
    <x v="269"/>
    <s v="Julie Jones"/>
    <x v="5"/>
    <x v="17"/>
    <n v="6"/>
    <n v="4784"/>
    <x v="0"/>
    <n v="28704"/>
    <x v="210"/>
    <x v="0"/>
    <x v="0"/>
    <x v="269"/>
  </r>
  <r>
    <x v="270"/>
    <s v="Stephanie Johnson"/>
    <x v="5"/>
    <x v="11"/>
    <n v="1"/>
    <n v="2454.71"/>
    <x v="44"/>
    <n v="2209.2399999999998"/>
    <x v="211"/>
    <x v="0"/>
    <x v="0"/>
    <x v="270"/>
  </r>
  <r>
    <x v="271"/>
    <s v="Matthew Bates"/>
    <x v="4"/>
    <x v="21"/>
    <n v="2"/>
    <n v="3864.37"/>
    <x v="0"/>
    <n v="7728.74"/>
    <x v="212"/>
    <x v="1"/>
    <x v="1"/>
    <x v="271"/>
  </r>
  <r>
    <x v="272"/>
    <s v="Patricia Mcbride"/>
    <x v="0"/>
    <x v="15"/>
    <n v="2"/>
    <n v="3522.98"/>
    <x v="0"/>
    <n v="7045.96"/>
    <x v="196"/>
    <x v="5"/>
    <x v="2"/>
    <x v="272"/>
  </r>
  <r>
    <x v="273"/>
    <s v="Timothy Brown"/>
    <x v="3"/>
    <x v="10"/>
    <n v="4"/>
    <n v="4609.95"/>
    <x v="0"/>
    <n v="18439.8"/>
    <x v="213"/>
    <x v="1"/>
    <x v="0"/>
    <x v="273"/>
  </r>
  <r>
    <x v="274"/>
    <s v="Cynthia Johnson"/>
    <x v="1"/>
    <x v="8"/>
    <n v="2"/>
    <n v="2525.04"/>
    <x v="34"/>
    <n v="3535.06"/>
    <x v="214"/>
    <x v="3"/>
    <x v="1"/>
    <x v="274"/>
  </r>
  <r>
    <x v="275"/>
    <s v="Julie Anthony"/>
    <x v="2"/>
    <x v="2"/>
    <n v="1"/>
    <n v="3270.29"/>
    <x v="0"/>
    <n v="3270.29"/>
    <x v="215"/>
    <x v="4"/>
    <x v="2"/>
    <x v="275"/>
  </r>
  <r>
    <x v="276"/>
    <s v="Felicia Saunders"/>
    <x v="0"/>
    <x v="15"/>
    <n v="5"/>
    <n v="2535.29"/>
    <x v="0"/>
    <n v="12676.45"/>
    <x v="51"/>
    <x v="1"/>
    <x v="1"/>
    <x v="276"/>
  </r>
  <r>
    <x v="277"/>
    <s v="Mallory Lee DVM"/>
    <x v="5"/>
    <x v="17"/>
    <n v="4"/>
    <n v="1392.21"/>
    <x v="0"/>
    <n v="5568.84"/>
    <x v="86"/>
    <x v="1"/>
    <x v="0"/>
    <x v="277"/>
  </r>
  <r>
    <x v="278"/>
    <s v="Erin Martin"/>
    <x v="2"/>
    <x v="14"/>
    <n v="2"/>
    <n v="839.34"/>
    <x v="0"/>
    <n v="1678.68"/>
    <x v="216"/>
    <x v="4"/>
    <x v="2"/>
    <x v="278"/>
  </r>
  <r>
    <x v="279"/>
    <s v="Jennifer Leblanc"/>
    <x v="1"/>
    <x v="1"/>
    <n v="5"/>
    <n v="1354.14"/>
    <x v="0"/>
    <n v="6770.7"/>
    <x v="217"/>
    <x v="2"/>
    <x v="0"/>
    <x v="279"/>
  </r>
  <r>
    <x v="280"/>
    <s v="Wesley Jackson"/>
    <x v="2"/>
    <x v="3"/>
    <n v="6"/>
    <n v="3824.82"/>
    <x v="37"/>
    <n v="4130.8100000000004"/>
    <x v="218"/>
    <x v="1"/>
    <x v="2"/>
    <x v="280"/>
  </r>
  <r>
    <x v="281"/>
    <s v="Laura Robertson"/>
    <x v="5"/>
    <x v="11"/>
    <n v="3"/>
    <n v="583.53"/>
    <x v="0"/>
    <n v="1750.59"/>
    <x v="219"/>
    <x v="0"/>
    <x v="1"/>
    <x v="281"/>
  </r>
  <r>
    <x v="282"/>
    <s v="Kevin Skinner"/>
    <x v="4"/>
    <x v="21"/>
    <n v="2"/>
    <n v="2666.48"/>
    <x v="0"/>
    <n v="5332.96"/>
    <x v="220"/>
    <x v="4"/>
    <x v="0"/>
    <x v="282"/>
  </r>
  <r>
    <x v="283"/>
    <s v="Karen Houston"/>
    <x v="3"/>
    <x v="19"/>
    <n v="1"/>
    <n v="2357.36"/>
    <x v="0"/>
    <n v="2357.36"/>
    <x v="221"/>
    <x v="4"/>
    <x v="1"/>
    <x v="283"/>
  </r>
  <r>
    <x v="284"/>
    <s v="Lisa James"/>
    <x v="0"/>
    <x v="22"/>
    <n v="1"/>
    <n v="1194.44"/>
    <x v="0"/>
    <n v="1194.44"/>
    <x v="222"/>
    <x v="5"/>
    <x v="0"/>
    <x v="284"/>
  </r>
  <r>
    <x v="285"/>
    <s v="Daniel Reyes"/>
    <x v="5"/>
    <x v="17"/>
    <n v="2"/>
    <n v="3086.59"/>
    <x v="0"/>
    <n v="6173.18"/>
    <x v="109"/>
    <x v="5"/>
    <x v="2"/>
    <x v="285"/>
  </r>
  <r>
    <x v="286"/>
    <s v="Kaitlin Baldwin"/>
    <x v="1"/>
    <x v="12"/>
    <n v="2"/>
    <n v="1817.71"/>
    <x v="0"/>
    <n v="3635.42"/>
    <x v="223"/>
    <x v="0"/>
    <x v="2"/>
    <x v="286"/>
  </r>
  <r>
    <x v="287"/>
    <s v="Andrew Brown"/>
    <x v="2"/>
    <x v="2"/>
    <n v="5"/>
    <n v="3153.37"/>
    <x v="0"/>
    <n v="15766.85"/>
    <x v="68"/>
    <x v="1"/>
    <x v="1"/>
    <x v="287"/>
  </r>
  <r>
    <x v="288"/>
    <s v="David Walker"/>
    <x v="4"/>
    <x v="6"/>
    <n v="5"/>
    <n v="1202.73"/>
    <x v="0"/>
    <n v="6013.65"/>
    <x v="224"/>
    <x v="3"/>
    <x v="2"/>
    <x v="288"/>
  </r>
  <r>
    <x v="289"/>
    <s v="Timothy Peterson"/>
    <x v="2"/>
    <x v="7"/>
    <n v="2"/>
    <n v="535.62"/>
    <x v="0"/>
    <n v="1071.24"/>
    <x v="51"/>
    <x v="1"/>
    <x v="2"/>
    <x v="289"/>
  </r>
  <r>
    <x v="290"/>
    <s v="Zachary Robinson"/>
    <x v="3"/>
    <x v="19"/>
    <n v="4"/>
    <n v="3263.06"/>
    <x v="46"/>
    <n v="10963.88"/>
    <x v="86"/>
    <x v="0"/>
    <x v="1"/>
    <x v="290"/>
  </r>
  <r>
    <x v="291"/>
    <s v="John Blankenship"/>
    <x v="3"/>
    <x v="20"/>
    <n v="1"/>
    <n v="1313.35"/>
    <x v="1"/>
    <n v="1050.68"/>
    <x v="225"/>
    <x v="3"/>
    <x v="2"/>
    <x v="291"/>
  </r>
  <r>
    <x v="292"/>
    <s v="Daniel Haney"/>
    <x v="2"/>
    <x v="7"/>
    <n v="5"/>
    <n v="2494.15"/>
    <x v="0"/>
    <n v="12470.75"/>
    <x v="215"/>
    <x v="5"/>
    <x v="0"/>
    <x v="292"/>
  </r>
  <r>
    <x v="293"/>
    <s v="Jennifer Simpson"/>
    <x v="1"/>
    <x v="9"/>
    <n v="2"/>
    <n v="470.68"/>
    <x v="47"/>
    <n v="884.88"/>
    <x v="177"/>
    <x v="2"/>
    <x v="0"/>
    <x v="293"/>
  </r>
  <r>
    <x v="294"/>
    <s v="Danielle Archer"/>
    <x v="3"/>
    <x v="10"/>
    <n v="6"/>
    <n v="1507.6"/>
    <x v="0"/>
    <n v="9045.6"/>
    <x v="167"/>
    <x v="5"/>
    <x v="2"/>
    <x v="294"/>
  </r>
  <r>
    <x v="295"/>
    <s v="Amy Miller"/>
    <x v="5"/>
    <x v="16"/>
    <n v="6"/>
    <n v="1765.76"/>
    <x v="48"/>
    <n v="6780.52"/>
    <x v="226"/>
    <x v="2"/>
    <x v="0"/>
    <x v="295"/>
  </r>
  <r>
    <x v="296"/>
    <s v="Bailey Keller"/>
    <x v="4"/>
    <x v="23"/>
    <n v="1"/>
    <n v="2497.52"/>
    <x v="0"/>
    <n v="2497.52"/>
    <x v="227"/>
    <x v="2"/>
    <x v="1"/>
    <x v="296"/>
  </r>
  <r>
    <x v="297"/>
    <s v="Alexander Gonzalez"/>
    <x v="1"/>
    <x v="1"/>
    <n v="4"/>
    <n v="2062.9"/>
    <x v="0"/>
    <n v="8251.6"/>
    <x v="218"/>
    <x v="0"/>
    <x v="2"/>
    <x v="297"/>
  </r>
  <r>
    <x v="298"/>
    <s v="Paige Mosley"/>
    <x v="1"/>
    <x v="9"/>
    <n v="1"/>
    <n v="4084.97"/>
    <x v="49"/>
    <n v="694.44"/>
    <x v="228"/>
    <x v="0"/>
    <x v="0"/>
    <x v="298"/>
  </r>
  <r>
    <x v="299"/>
    <s v="Amanda Mclaughlin"/>
    <x v="0"/>
    <x v="22"/>
    <n v="1"/>
    <n v="1171.57"/>
    <x v="0"/>
    <n v="1171.57"/>
    <x v="229"/>
    <x v="4"/>
    <x v="1"/>
    <x v="299"/>
  </r>
  <r>
    <x v="300"/>
    <s v="Laurie Martinez"/>
    <x v="4"/>
    <x v="6"/>
    <n v="3"/>
    <n v="1759.66"/>
    <x v="0"/>
    <n v="5278.98"/>
    <x v="230"/>
    <x v="0"/>
    <x v="1"/>
    <x v="300"/>
  </r>
  <r>
    <x v="301"/>
    <s v="Misty Higgins"/>
    <x v="1"/>
    <x v="1"/>
    <n v="2"/>
    <n v="3922.01"/>
    <x v="0"/>
    <n v="7844.02"/>
    <x v="231"/>
    <x v="1"/>
    <x v="0"/>
    <x v="301"/>
  </r>
  <r>
    <x v="302"/>
    <s v="Jennifer Hancock"/>
    <x v="5"/>
    <x v="13"/>
    <n v="3"/>
    <n v="1695.61"/>
    <x v="0"/>
    <n v="5086.83"/>
    <x v="44"/>
    <x v="5"/>
    <x v="2"/>
    <x v="302"/>
  </r>
  <r>
    <x v="303"/>
    <s v="Nathaniel Martin Jr."/>
    <x v="5"/>
    <x v="13"/>
    <n v="1"/>
    <n v="1290.42"/>
    <x v="0"/>
    <n v="1290.42"/>
    <x v="232"/>
    <x v="2"/>
    <x v="0"/>
    <x v="303"/>
  </r>
  <r>
    <x v="304"/>
    <s v="Douglas Cummings"/>
    <x v="4"/>
    <x v="6"/>
    <n v="2"/>
    <n v="4949.17"/>
    <x v="0"/>
    <n v="9898.34"/>
    <x v="113"/>
    <x v="1"/>
    <x v="0"/>
    <x v="304"/>
  </r>
  <r>
    <x v="305"/>
    <s v="Melissa Mcdonald"/>
    <x v="4"/>
    <x v="6"/>
    <n v="1"/>
    <n v="1873.39"/>
    <x v="50"/>
    <n v="487.08"/>
    <x v="233"/>
    <x v="3"/>
    <x v="0"/>
    <x v="305"/>
  </r>
  <r>
    <x v="306"/>
    <s v="Kyle Salinas"/>
    <x v="4"/>
    <x v="6"/>
    <n v="1"/>
    <n v="873.64"/>
    <x v="35"/>
    <n v="725.12"/>
    <x v="176"/>
    <x v="4"/>
    <x v="1"/>
    <x v="306"/>
  </r>
  <r>
    <x v="307"/>
    <s v="Frank Griffin"/>
    <x v="5"/>
    <x v="13"/>
    <n v="2"/>
    <n v="3153.72"/>
    <x v="0"/>
    <n v="6307.44"/>
    <x v="34"/>
    <x v="3"/>
    <x v="0"/>
    <x v="307"/>
  </r>
  <r>
    <x v="308"/>
    <s v="Kenneth Griffith"/>
    <x v="3"/>
    <x v="19"/>
    <n v="2"/>
    <n v="3033.2"/>
    <x v="0"/>
    <n v="6066.4"/>
    <x v="234"/>
    <x v="4"/>
    <x v="0"/>
    <x v="308"/>
  </r>
  <r>
    <x v="309"/>
    <s v="Randy Burke"/>
    <x v="1"/>
    <x v="9"/>
    <n v="2"/>
    <n v="1551.41"/>
    <x v="24"/>
    <n v="1427.3"/>
    <x v="233"/>
    <x v="5"/>
    <x v="2"/>
    <x v="309"/>
  </r>
  <r>
    <x v="310"/>
    <s v="Charles Francis"/>
    <x v="1"/>
    <x v="9"/>
    <n v="2"/>
    <n v="2312.09"/>
    <x v="0"/>
    <n v="4624.18"/>
    <x v="130"/>
    <x v="1"/>
    <x v="1"/>
    <x v="310"/>
  </r>
  <r>
    <x v="311"/>
    <s v="Veronica Goodwin"/>
    <x v="1"/>
    <x v="1"/>
    <n v="4"/>
    <n v="3256.86"/>
    <x v="19"/>
    <n v="2996.31"/>
    <x v="235"/>
    <x v="1"/>
    <x v="0"/>
    <x v="311"/>
  </r>
  <r>
    <x v="312"/>
    <s v="Stephanie Cook"/>
    <x v="3"/>
    <x v="20"/>
    <n v="5"/>
    <n v="4264.79"/>
    <x v="0"/>
    <n v="21323.95"/>
    <x v="236"/>
    <x v="2"/>
    <x v="2"/>
    <x v="312"/>
  </r>
  <r>
    <x v="313"/>
    <s v="Catherine Spencer"/>
    <x v="0"/>
    <x v="22"/>
    <n v="1"/>
    <n v="974.54"/>
    <x v="51"/>
    <n v="545.74"/>
    <x v="126"/>
    <x v="3"/>
    <x v="0"/>
    <x v="313"/>
  </r>
  <r>
    <x v="314"/>
    <s v="Dale Davis"/>
    <x v="3"/>
    <x v="10"/>
    <n v="1"/>
    <n v="4887.3599999999997"/>
    <x v="0"/>
    <n v="4887.3599999999997"/>
    <x v="237"/>
    <x v="3"/>
    <x v="0"/>
    <x v="314"/>
  </r>
  <r>
    <x v="315"/>
    <s v="Brianna Patel"/>
    <x v="4"/>
    <x v="5"/>
    <n v="2"/>
    <n v="2116.65"/>
    <x v="52"/>
    <n v="3344.31"/>
    <x v="68"/>
    <x v="0"/>
    <x v="1"/>
    <x v="315"/>
  </r>
  <r>
    <x v="316"/>
    <s v="Wendy Sandoval"/>
    <x v="4"/>
    <x v="23"/>
    <n v="1"/>
    <n v="3154.48"/>
    <x v="0"/>
    <n v="3154.48"/>
    <x v="238"/>
    <x v="2"/>
    <x v="2"/>
    <x v="316"/>
  </r>
  <r>
    <x v="317"/>
    <s v="Matthew Bryant"/>
    <x v="5"/>
    <x v="11"/>
    <n v="6"/>
    <n v="1768.88"/>
    <x v="0"/>
    <n v="10613.28"/>
    <x v="239"/>
    <x v="4"/>
    <x v="0"/>
    <x v="317"/>
  </r>
  <r>
    <x v="318"/>
    <s v="Denise Ashley"/>
    <x v="2"/>
    <x v="14"/>
    <n v="6"/>
    <n v="4976.8100000000004"/>
    <x v="0"/>
    <n v="29860.86"/>
    <x v="208"/>
    <x v="2"/>
    <x v="2"/>
    <x v="318"/>
  </r>
  <r>
    <x v="319"/>
    <s v="Christine Young"/>
    <x v="2"/>
    <x v="14"/>
    <n v="1"/>
    <n v="1845.75"/>
    <x v="0"/>
    <n v="1845.75"/>
    <x v="49"/>
    <x v="1"/>
    <x v="0"/>
    <x v="319"/>
  </r>
  <r>
    <x v="320"/>
    <s v="Robert Rogers"/>
    <x v="1"/>
    <x v="12"/>
    <n v="3"/>
    <n v="4433.3500000000004"/>
    <x v="0"/>
    <n v="13300.05"/>
    <x v="186"/>
    <x v="4"/>
    <x v="1"/>
    <x v="320"/>
  </r>
  <r>
    <x v="321"/>
    <s v="Brittany Brown"/>
    <x v="2"/>
    <x v="3"/>
    <n v="3"/>
    <n v="2937.09"/>
    <x v="0"/>
    <n v="8811.27"/>
    <x v="25"/>
    <x v="4"/>
    <x v="2"/>
    <x v="321"/>
  </r>
  <r>
    <x v="322"/>
    <s v="Christopher Martin"/>
    <x v="0"/>
    <x v="0"/>
    <n v="1"/>
    <n v="2057.88"/>
    <x v="0"/>
    <n v="2057.88"/>
    <x v="17"/>
    <x v="2"/>
    <x v="2"/>
    <x v="322"/>
  </r>
  <r>
    <x v="323"/>
    <s v="Elizabeth Deleon"/>
    <x v="1"/>
    <x v="9"/>
    <n v="5"/>
    <n v="1981.32"/>
    <x v="0"/>
    <n v="9906.6"/>
    <x v="240"/>
    <x v="1"/>
    <x v="1"/>
    <x v="323"/>
  </r>
  <r>
    <x v="324"/>
    <s v="Karen Clayton"/>
    <x v="3"/>
    <x v="4"/>
    <n v="6"/>
    <n v="3998.97"/>
    <x v="0"/>
    <n v="23993.82"/>
    <x v="241"/>
    <x v="0"/>
    <x v="2"/>
    <x v="324"/>
  </r>
  <r>
    <x v="325"/>
    <s v="Brittany Sweeney"/>
    <x v="2"/>
    <x v="3"/>
    <n v="2"/>
    <n v="3568.45"/>
    <x v="53"/>
    <n v="4496.25"/>
    <x v="242"/>
    <x v="5"/>
    <x v="2"/>
    <x v="325"/>
  </r>
  <r>
    <x v="326"/>
    <s v="Melissa Davila"/>
    <x v="5"/>
    <x v="16"/>
    <n v="4"/>
    <n v="4280.7"/>
    <x v="0"/>
    <n v="17122.8"/>
    <x v="243"/>
    <x v="4"/>
    <x v="0"/>
    <x v="326"/>
  </r>
  <r>
    <x v="327"/>
    <s v="Elizabeth Smith"/>
    <x v="2"/>
    <x v="7"/>
    <n v="6"/>
    <n v="878.95"/>
    <x v="54"/>
    <n v="5220.96"/>
    <x v="244"/>
    <x v="0"/>
    <x v="1"/>
    <x v="327"/>
  </r>
  <r>
    <x v="328"/>
    <s v="Mariah Kidd"/>
    <x v="2"/>
    <x v="3"/>
    <n v="1"/>
    <n v="4585.71"/>
    <x v="0"/>
    <n v="4585.71"/>
    <x v="62"/>
    <x v="2"/>
    <x v="0"/>
    <x v="328"/>
  </r>
  <r>
    <x v="329"/>
    <s v="Anita Ramirez"/>
    <x v="0"/>
    <x v="18"/>
    <n v="5"/>
    <n v="4429.95"/>
    <x v="31"/>
    <n v="14397.34"/>
    <x v="245"/>
    <x v="3"/>
    <x v="1"/>
    <x v="329"/>
  </r>
  <r>
    <x v="330"/>
    <s v="George Gonzales"/>
    <x v="5"/>
    <x v="16"/>
    <n v="6"/>
    <n v="3904.86"/>
    <x v="0"/>
    <n v="23429.16"/>
    <x v="246"/>
    <x v="0"/>
    <x v="2"/>
    <x v="330"/>
  </r>
  <r>
    <x v="331"/>
    <s v="William Johnson"/>
    <x v="5"/>
    <x v="16"/>
    <n v="2"/>
    <n v="940.64"/>
    <x v="32"/>
    <n v="620.82000000000005"/>
    <x v="28"/>
    <x v="0"/>
    <x v="2"/>
    <x v="331"/>
  </r>
  <r>
    <x v="332"/>
    <s v="Tammy Hatfield"/>
    <x v="1"/>
    <x v="12"/>
    <n v="6"/>
    <n v="3121.49"/>
    <x v="0"/>
    <n v="18728.939999999999"/>
    <x v="247"/>
    <x v="1"/>
    <x v="0"/>
    <x v="332"/>
  </r>
  <r>
    <x v="333"/>
    <s v="Sandra Patrick"/>
    <x v="0"/>
    <x v="15"/>
    <n v="1"/>
    <n v="1882.93"/>
    <x v="0"/>
    <n v="1882.93"/>
    <x v="16"/>
    <x v="1"/>
    <x v="0"/>
    <x v="333"/>
  </r>
  <r>
    <x v="334"/>
    <s v="Cathy Zamora"/>
    <x v="3"/>
    <x v="4"/>
    <n v="1"/>
    <n v="3965.8"/>
    <x v="55"/>
    <n v="2062.2199999999998"/>
    <x v="248"/>
    <x v="1"/>
    <x v="0"/>
    <x v="334"/>
  </r>
  <r>
    <x v="335"/>
    <s v="Christopher Davis"/>
    <x v="1"/>
    <x v="9"/>
    <n v="3"/>
    <n v="4236.45"/>
    <x v="0"/>
    <n v="12709.35"/>
    <x v="26"/>
    <x v="0"/>
    <x v="2"/>
    <x v="335"/>
  </r>
  <r>
    <x v="336"/>
    <s v="Nathan Maynard"/>
    <x v="3"/>
    <x v="20"/>
    <n v="2"/>
    <n v="4409.22"/>
    <x v="0"/>
    <n v="8818.44"/>
    <x v="249"/>
    <x v="5"/>
    <x v="2"/>
    <x v="336"/>
  </r>
  <r>
    <x v="337"/>
    <s v="Nicholas Cox"/>
    <x v="2"/>
    <x v="14"/>
    <n v="2"/>
    <n v="4405.96"/>
    <x v="56"/>
    <n v="6344.58"/>
    <x v="250"/>
    <x v="1"/>
    <x v="0"/>
    <x v="337"/>
  </r>
  <r>
    <x v="338"/>
    <s v="Gregory Mitchell"/>
    <x v="4"/>
    <x v="23"/>
    <n v="4"/>
    <n v="1316.9"/>
    <x v="30"/>
    <n v="4688.16"/>
    <x v="251"/>
    <x v="5"/>
    <x v="2"/>
    <x v="338"/>
  </r>
  <r>
    <x v="339"/>
    <s v="Christopher Gordon"/>
    <x v="5"/>
    <x v="13"/>
    <n v="1"/>
    <n v="2124.13"/>
    <x v="28"/>
    <n v="318.62"/>
    <x v="252"/>
    <x v="3"/>
    <x v="1"/>
    <x v="339"/>
  </r>
  <r>
    <x v="340"/>
    <s v="Kristen Alexander"/>
    <x v="0"/>
    <x v="15"/>
    <n v="1"/>
    <n v="4090.34"/>
    <x v="57"/>
    <n v="40.9"/>
    <x v="76"/>
    <x v="0"/>
    <x v="0"/>
    <x v="340"/>
  </r>
  <r>
    <x v="341"/>
    <s v="Holly Lopez"/>
    <x v="4"/>
    <x v="5"/>
    <n v="5"/>
    <n v="2590.44"/>
    <x v="0"/>
    <n v="12952.2"/>
    <x v="253"/>
    <x v="3"/>
    <x v="1"/>
    <x v="341"/>
  </r>
  <r>
    <x v="342"/>
    <s v="Katrina Pugh"/>
    <x v="3"/>
    <x v="20"/>
    <n v="2"/>
    <n v="3944.46"/>
    <x v="0"/>
    <n v="7888.92"/>
    <x v="254"/>
    <x v="2"/>
    <x v="2"/>
    <x v="342"/>
  </r>
  <r>
    <x v="343"/>
    <s v="Amanda Dixon"/>
    <x v="3"/>
    <x v="4"/>
    <n v="1"/>
    <n v="3108.69"/>
    <x v="0"/>
    <n v="3108.69"/>
    <x v="5"/>
    <x v="5"/>
    <x v="1"/>
    <x v="343"/>
  </r>
  <r>
    <x v="344"/>
    <s v="Sarah Bradley DDS"/>
    <x v="4"/>
    <x v="21"/>
    <n v="2"/>
    <n v="4878.8100000000004"/>
    <x v="0"/>
    <n v="9757.6200000000008"/>
    <x v="234"/>
    <x v="1"/>
    <x v="1"/>
    <x v="344"/>
  </r>
  <r>
    <x v="345"/>
    <s v="Hector Morris"/>
    <x v="0"/>
    <x v="18"/>
    <n v="5"/>
    <n v="1804.56"/>
    <x v="0"/>
    <n v="9022.7999999999993"/>
    <x v="255"/>
    <x v="3"/>
    <x v="1"/>
    <x v="345"/>
  </r>
  <r>
    <x v="346"/>
    <s v="Shawn Campbell"/>
    <x v="1"/>
    <x v="9"/>
    <n v="2"/>
    <n v="3047.68"/>
    <x v="0"/>
    <n v="6095.36"/>
    <x v="146"/>
    <x v="1"/>
    <x v="2"/>
    <x v="346"/>
  </r>
  <r>
    <x v="347"/>
    <s v="Scott Hernandez"/>
    <x v="2"/>
    <x v="2"/>
    <n v="1"/>
    <n v="4390.32"/>
    <x v="0"/>
    <n v="4390.32"/>
    <x v="256"/>
    <x v="1"/>
    <x v="1"/>
    <x v="347"/>
  </r>
  <r>
    <x v="348"/>
    <s v="Adrian Cross"/>
    <x v="1"/>
    <x v="1"/>
    <n v="6"/>
    <n v="2217.9499999999998"/>
    <x v="0"/>
    <n v="13307.7"/>
    <x v="1"/>
    <x v="3"/>
    <x v="1"/>
    <x v="348"/>
  </r>
  <r>
    <x v="349"/>
    <s v="Thomas Cole"/>
    <x v="3"/>
    <x v="4"/>
    <n v="1"/>
    <n v="2847.86"/>
    <x v="58"/>
    <n v="854.36"/>
    <x v="257"/>
    <x v="5"/>
    <x v="2"/>
    <x v="349"/>
  </r>
  <r>
    <x v="350"/>
    <s v="Christopher Stone"/>
    <x v="1"/>
    <x v="12"/>
    <n v="6"/>
    <n v="3924.28"/>
    <x v="59"/>
    <n v="20013.830000000002"/>
    <x v="258"/>
    <x v="1"/>
    <x v="1"/>
    <x v="350"/>
  </r>
  <r>
    <x v="351"/>
    <s v="Calvin Wright"/>
    <x v="1"/>
    <x v="12"/>
    <n v="2"/>
    <n v="1266.23"/>
    <x v="39"/>
    <n v="481.17"/>
    <x v="259"/>
    <x v="2"/>
    <x v="0"/>
    <x v="351"/>
  </r>
  <r>
    <x v="352"/>
    <s v="Jill Singh"/>
    <x v="1"/>
    <x v="8"/>
    <n v="1"/>
    <n v="966.41"/>
    <x v="0"/>
    <n v="966.41"/>
    <x v="132"/>
    <x v="1"/>
    <x v="2"/>
    <x v="352"/>
  </r>
  <r>
    <x v="353"/>
    <s v="Mary Smith"/>
    <x v="0"/>
    <x v="15"/>
    <n v="5"/>
    <n v="636.53"/>
    <x v="0"/>
    <n v="3182.65"/>
    <x v="260"/>
    <x v="0"/>
    <x v="0"/>
    <x v="353"/>
  </r>
  <r>
    <x v="354"/>
    <s v="Crystal Beasley"/>
    <x v="3"/>
    <x v="10"/>
    <n v="2"/>
    <n v="4166.34"/>
    <x v="0"/>
    <n v="8332.68"/>
    <x v="261"/>
    <x v="3"/>
    <x v="0"/>
    <x v="354"/>
  </r>
  <r>
    <x v="355"/>
    <s v="Justin Melton"/>
    <x v="3"/>
    <x v="19"/>
    <n v="1"/>
    <n v="2282.7600000000002"/>
    <x v="38"/>
    <n v="958.76"/>
    <x v="262"/>
    <x v="1"/>
    <x v="1"/>
    <x v="355"/>
  </r>
  <r>
    <x v="356"/>
    <s v="Connor Meza"/>
    <x v="0"/>
    <x v="15"/>
    <n v="2"/>
    <n v="3760.09"/>
    <x v="0"/>
    <n v="7520.18"/>
    <x v="191"/>
    <x v="3"/>
    <x v="1"/>
    <x v="356"/>
  </r>
  <r>
    <x v="357"/>
    <s v="Mary Johnson"/>
    <x v="2"/>
    <x v="14"/>
    <n v="5"/>
    <n v="3111.73"/>
    <x v="0"/>
    <n v="15558.65"/>
    <x v="263"/>
    <x v="1"/>
    <x v="2"/>
    <x v="357"/>
  </r>
  <r>
    <x v="358"/>
    <s v="Ryan Barker"/>
    <x v="5"/>
    <x v="16"/>
    <n v="5"/>
    <n v="4754.22"/>
    <x v="37"/>
    <n v="4278.8"/>
    <x v="208"/>
    <x v="3"/>
    <x v="0"/>
    <x v="358"/>
  </r>
  <r>
    <x v="359"/>
    <s v="Logan Phillips"/>
    <x v="0"/>
    <x v="22"/>
    <n v="2"/>
    <n v="2942.33"/>
    <x v="46"/>
    <n v="4943.1099999999997"/>
    <x v="264"/>
    <x v="4"/>
    <x v="1"/>
    <x v="359"/>
  </r>
  <r>
    <x v="360"/>
    <s v="Sean Hensley"/>
    <x v="1"/>
    <x v="1"/>
    <n v="1"/>
    <n v="636.91999999999996"/>
    <x v="60"/>
    <n v="312.08999999999997"/>
    <x v="163"/>
    <x v="4"/>
    <x v="0"/>
    <x v="360"/>
  </r>
  <r>
    <x v="361"/>
    <s v="Jeremiah Reese"/>
    <x v="1"/>
    <x v="8"/>
    <n v="2"/>
    <n v="400.21"/>
    <x v="0"/>
    <n v="800.42"/>
    <x v="140"/>
    <x v="1"/>
    <x v="2"/>
    <x v="361"/>
  </r>
  <r>
    <x v="362"/>
    <s v="Richard Gutierrez"/>
    <x v="5"/>
    <x v="11"/>
    <n v="4"/>
    <n v="973.52"/>
    <x v="0"/>
    <n v="3894.08"/>
    <x v="253"/>
    <x v="3"/>
    <x v="1"/>
    <x v="362"/>
  </r>
  <r>
    <x v="363"/>
    <s v="Christopher Phillips"/>
    <x v="4"/>
    <x v="6"/>
    <n v="3"/>
    <n v="4758.24"/>
    <x v="61"/>
    <n v="7280.11"/>
    <x v="256"/>
    <x v="0"/>
    <x v="1"/>
    <x v="363"/>
  </r>
  <r>
    <x v="364"/>
    <s v="Charles Kelly"/>
    <x v="0"/>
    <x v="0"/>
    <n v="4"/>
    <n v="4762.62"/>
    <x v="0"/>
    <n v="19050.48"/>
    <x v="265"/>
    <x v="3"/>
    <x v="0"/>
    <x v="364"/>
  </r>
  <r>
    <x v="365"/>
    <s v="Carrie Mclaughlin"/>
    <x v="3"/>
    <x v="20"/>
    <n v="4"/>
    <n v="803.79"/>
    <x v="0"/>
    <n v="3215.16"/>
    <x v="156"/>
    <x v="4"/>
    <x v="2"/>
    <x v="365"/>
  </r>
  <r>
    <x v="366"/>
    <s v="Roger Blake"/>
    <x v="4"/>
    <x v="5"/>
    <n v="2"/>
    <n v="2339.36"/>
    <x v="31"/>
    <n v="3041.17"/>
    <x v="266"/>
    <x v="1"/>
    <x v="0"/>
    <x v="366"/>
  </r>
  <r>
    <x v="367"/>
    <s v="Amanda Rich"/>
    <x v="5"/>
    <x v="16"/>
    <n v="6"/>
    <n v="1987.62"/>
    <x v="0"/>
    <n v="11925.72"/>
    <x v="267"/>
    <x v="3"/>
    <x v="0"/>
    <x v="367"/>
  </r>
  <r>
    <x v="368"/>
    <s v="Kathryn Swanson"/>
    <x v="4"/>
    <x v="6"/>
    <n v="5"/>
    <n v="1683.74"/>
    <x v="38"/>
    <n v="3535.85"/>
    <x v="187"/>
    <x v="1"/>
    <x v="2"/>
    <x v="368"/>
  </r>
  <r>
    <x v="369"/>
    <s v="Keith Manning"/>
    <x v="3"/>
    <x v="20"/>
    <n v="5"/>
    <n v="2935.56"/>
    <x v="0"/>
    <n v="14677.8"/>
    <x v="247"/>
    <x v="5"/>
    <x v="1"/>
    <x v="369"/>
  </r>
  <r>
    <x v="370"/>
    <s v="Angela Adkins"/>
    <x v="2"/>
    <x v="3"/>
    <n v="5"/>
    <n v="3844.19"/>
    <x v="0"/>
    <n v="19220.95"/>
    <x v="206"/>
    <x v="3"/>
    <x v="1"/>
    <x v="3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71">
  <r>
    <n v="1002"/>
    <s v="Sarah Snyder"/>
    <s v="Jackets"/>
    <s v="Puffer Coat"/>
    <n v="1"/>
    <n v="637.82000000000005"/>
    <n v="0"/>
    <x v="0"/>
    <n v="637.82000000000005"/>
    <d v="2025-01-02T00:00:00"/>
    <x v="0"/>
    <s v="B2B"/>
    <n v="-158.03"/>
  </r>
  <r>
    <n v="1003"/>
    <s v="Jay Briggs"/>
    <s v="Shoes"/>
    <s v="Loafers"/>
    <n v="2"/>
    <n v="2962.27"/>
    <n v="0"/>
    <x v="0"/>
    <n v="5924.54"/>
    <d v="2025-06-18T00:00:00"/>
    <x v="1"/>
    <s v="B2B"/>
    <n v="2296.5"/>
  </r>
  <r>
    <n v="1006"/>
    <s v="John Mclean"/>
    <s v="Jeans"/>
    <s v="Boyfriend Jeans"/>
    <n v="1"/>
    <n v="2060.85"/>
    <n v="0"/>
    <x v="0"/>
    <n v="2060.85"/>
    <d v="2024-04-02T00:00:00"/>
    <x v="2"/>
    <s v="B2B"/>
    <n v="198.36"/>
  </r>
  <r>
    <n v="1025"/>
    <s v="Christine Reed"/>
    <s v="Jeans"/>
    <s v="Straight Cut"/>
    <n v="4"/>
    <n v="4595.08"/>
    <n v="0"/>
    <x v="0"/>
    <n v="18380.32"/>
    <d v="2025-07-18T00:00:00"/>
    <x v="1"/>
    <s v="OTHERS"/>
    <n v="330.82"/>
  </r>
  <r>
    <n v="1030"/>
    <s v="Brandi Jones"/>
    <s v="Dresses"/>
    <s v="Maxi Dress"/>
    <n v="3"/>
    <n v="1069.77"/>
    <n v="0"/>
    <x v="0"/>
    <n v="3209.31"/>
    <d v="2023-09-03T00:00:00"/>
    <x v="3"/>
    <s v="B2C"/>
    <n v="1155.3800000000001"/>
  </r>
  <r>
    <n v="1036"/>
    <s v="Connie Cunningham"/>
    <s v="T-Shirts"/>
    <s v="Graphic Tee"/>
    <n v="2"/>
    <n v="2721.83"/>
    <n v="0"/>
    <x v="0"/>
    <n v="5443.66"/>
    <d v="2024-04-06T00:00:00"/>
    <x v="2"/>
    <s v="B2B"/>
    <n v="1213.95"/>
  </r>
  <r>
    <n v="1038"/>
    <s v="Courtney Riddle"/>
    <s v="T-Shirts"/>
    <s v="Crop Top"/>
    <n v="3"/>
    <n v="1692.38"/>
    <n v="0"/>
    <x v="0"/>
    <n v="5077.1400000000003"/>
    <d v="2024-01-20T00:00:00"/>
    <x v="1"/>
    <s v="B2C"/>
    <n v="1704.49"/>
  </r>
  <r>
    <n v="1050"/>
    <s v="Matthew Schmidt"/>
    <s v="Jeans"/>
    <s v="Slim Fit Jeans"/>
    <n v="1"/>
    <n v="1083.1600000000001"/>
    <n v="0"/>
    <x v="0"/>
    <n v="1083.1600000000001"/>
    <d v="2025-07-08T00:00:00"/>
    <x v="4"/>
    <s v="B2C"/>
    <n v="2904.29"/>
  </r>
  <r>
    <n v="1066"/>
    <s v="Joshua Figueroa"/>
    <s v="Shoes"/>
    <s v="Slip-ons"/>
    <n v="2"/>
    <n v="3479.44"/>
    <n v="0"/>
    <x v="0"/>
    <n v="6958.88"/>
    <d v="2025-01-15T00:00:00"/>
    <x v="5"/>
    <s v="OTHERS"/>
    <n v="-252.78"/>
  </r>
  <r>
    <n v="1090"/>
    <s v="Heather Arnold"/>
    <s v="Shoes"/>
    <s v="Slip-ons"/>
    <n v="5"/>
    <n v="2477.8200000000002"/>
    <n v="0"/>
    <x v="0"/>
    <n v="12389.1"/>
    <d v="2024-11-09T00:00:00"/>
    <x v="2"/>
    <s v="B2C"/>
    <n v="-888.86"/>
  </r>
  <r>
    <n v="1100"/>
    <s v="Daniel Brown"/>
    <s v="Shoes"/>
    <s v="Boots"/>
    <n v="2"/>
    <n v="2011.73"/>
    <n v="0"/>
    <x v="0"/>
    <n v="4023.46"/>
    <d v="2024-12-30T00:00:00"/>
    <x v="3"/>
    <s v="B2C"/>
    <n v="2493.5"/>
  </r>
  <r>
    <n v="1103"/>
    <s v="Brandon Webb"/>
    <s v="Dresses"/>
    <s v="Bodycon"/>
    <n v="5"/>
    <n v="1521.46"/>
    <n v="0"/>
    <x v="0"/>
    <n v="7607.3"/>
    <d v="2025-06-11T00:00:00"/>
    <x v="1"/>
    <s v="B2B"/>
    <n v="1713.47"/>
  </r>
  <r>
    <n v="1104"/>
    <s v="Andrew Moreno"/>
    <s v="Dresses"/>
    <s v="Maxi Dress"/>
    <n v="3"/>
    <n v="2752.71"/>
    <n v="0"/>
    <x v="0"/>
    <n v="8258.1299999999992"/>
    <d v="2024-06-11T00:00:00"/>
    <x v="2"/>
    <s v="B2B"/>
    <n v="1660.01"/>
  </r>
  <r>
    <n v="1114"/>
    <s v="Robert Williams"/>
    <s v="Dresses"/>
    <s v="Bodycon"/>
    <n v="6"/>
    <n v="568.61"/>
    <n v="0.2"/>
    <x v="1"/>
    <n v="2729.33"/>
    <d v="2025-02-18T00:00:00"/>
    <x v="5"/>
    <s v="B2C"/>
    <n v="-689.16"/>
  </r>
  <r>
    <n v="1123"/>
    <s v="Michael Clarke"/>
    <s v="Accessories"/>
    <s v="Caps"/>
    <n v="5"/>
    <n v="3978.76"/>
    <n v="0"/>
    <x v="0"/>
    <n v="19893.8"/>
    <d v="2024-04-11T00:00:00"/>
    <x v="2"/>
    <s v="OTHERS"/>
    <n v="1494.78"/>
  </r>
  <r>
    <n v="1127"/>
    <s v="Rhonda Ray"/>
    <s v="Dresses"/>
    <s v="Bodycon"/>
    <n v="3"/>
    <n v="4843.4399999999996"/>
    <n v="7.0000000000000007E-2"/>
    <x v="1"/>
    <n v="13513.2"/>
    <d v="2024-08-07T00:00:00"/>
    <x v="2"/>
    <s v="B2B"/>
    <n v="2881.91"/>
  </r>
  <r>
    <n v="1129"/>
    <s v="Miranda Thomas"/>
    <s v="Jeans"/>
    <s v="Boyfriend Jeans"/>
    <n v="2"/>
    <n v="2412.36"/>
    <n v="0.23"/>
    <x v="1"/>
    <n v="3715.03"/>
    <d v="2025-06-27T00:00:00"/>
    <x v="0"/>
    <s v="B2C"/>
    <n v="-668.36"/>
  </r>
  <r>
    <n v="1135"/>
    <s v="Ronald Ballard"/>
    <s v="Shoes"/>
    <s v="Sneakers"/>
    <n v="4"/>
    <n v="1556.96"/>
    <n v="0.84"/>
    <x v="1"/>
    <n v="996.45"/>
    <d v="2024-10-23T00:00:00"/>
    <x v="0"/>
    <s v="B2B"/>
    <n v="1432.84"/>
  </r>
  <r>
    <n v="1142"/>
    <s v="Daniel Alvarez"/>
    <s v="Dresses"/>
    <s v="Bodycon"/>
    <n v="6"/>
    <n v="3004.58"/>
    <n v="0"/>
    <x v="0"/>
    <n v="18027.48"/>
    <d v="2024-02-22T00:00:00"/>
    <x v="3"/>
    <s v="B2C"/>
    <n v="-509.67"/>
  </r>
  <r>
    <n v="1145"/>
    <s v="Jorge Anderson"/>
    <s v="T-Shirts"/>
    <s v="Graphic Tee"/>
    <n v="2"/>
    <n v="3607.9"/>
    <n v="0.94"/>
    <x v="1"/>
    <n v="432.95"/>
    <d v="2024-11-06T00:00:00"/>
    <x v="3"/>
    <s v="B2B"/>
    <n v="-171.58"/>
  </r>
  <r>
    <n v="1151"/>
    <s v="Joseph Allen"/>
    <s v="Jeans"/>
    <s v="Straight Cut"/>
    <n v="4"/>
    <n v="2266.44"/>
    <n v="0.33"/>
    <x v="1"/>
    <n v="6074.06"/>
    <d v="2025-07-17T00:00:00"/>
    <x v="4"/>
    <s v="B2C"/>
    <n v="-655.45"/>
  </r>
  <r>
    <n v="1153"/>
    <s v="Julia Evans"/>
    <s v="Accessories"/>
    <s v="Belts"/>
    <n v="1"/>
    <n v="478.59"/>
    <n v="0"/>
    <x v="0"/>
    <n v="478.59"/>
    <d v="2024-12-15T00:00:00"/>
    <x v="5"/>
    <s v="B2B"/>
    <n v="-681.2"/>
  </r>
  <r>
    <n v="1157"/>
    <s v="Dean Allen"/>
    <s v="Jeans"/>
    <s v="Ripped Denim"/>
    <n v="6"/>
    <n v="645.03"/>
    <n v="0"/>
    <x v="0"/>
    <n v="3870.18"/>
    <d v="2025-06-25T00:00:00"/>
    <x v="2"/>
    <s v="B2C"/>
    <n v="2724.92"/>
  </r>
  <r>
    <n v="1172"/>
    <s v="Diane Davis"/>
    <s v="Jackets"/>
    <s v="Puffer Coat"/>
    <n v="2"/>
    <n v="2719.32"/>
    <n v="0"/>
    <x v="0"/>
    <n v="5438.64"/>
    <d v="2025-05-02T00:00:00"/>
    <x v="3"/>
    <s v="B2C"/>
    <n v="655.1"/>
  </r>
  <r>
    <n v="1174"/>
    <s v="Tiffany Flores"/>
    <s v="Jackets"/>
    <s v="Leather Jacket"/>
    <n v="6"/>
    <n v="4984.6499999999996"/>
    <n v="0.42"/>
    <x v="1"/>
    <n v="17346.580000000002"/>
    <d v="2024-12-23T00:00:00"/>
    <x v="1"/>
    <s v="OTHERS"/>
    <n v="2931.32"/>
  </r>
  <r>
    <n v="1183"/>
    <s v="Sherry Ward"/>
    <s v="Accessories"/>
    <s v="Watches"/>
    <n v="6"/>
    <n v="2372.3000000000002"/>
    <n v="0"/>
    <x v="0"/>
    <n v="14233.8"/>
    <d v="2024-03-27T00:00:00"/>
    <x v="5"/>
    <s v="OTHERS"/>
    <n v="1888.87"/>
  </r>
  <r>
    <n v="1188"/>
    <s v="Maria Morrow"/>
    <s v="Accessories"/>
    <s v="Belts"/>
    <n v="6"/>
    <n v="4910.28"/>
    <n v="0.12"/>
    <x v="1"/>
    <n v="25926.28"/>
    <d v="2024-08-27T00:00:00"/>
    <x v="1"/>
    <s v="OTHERS"/>
    <n v="2089.25"/>
  </r>
  <r>
    <n v="1198"/>
    <s v="Jacqueline Erickson"/>
    <s v="Accessories"/>
    <s v="Sunglasses"/>
    <n v="3"/>
    <n v="3594.97"/>
    <n v="0"/>
    <x v="0"/>
    <n v="10784.91"/>
    <d v="2025-04-17T00:00:00"/>
    <x v="5"/>
    <s v="B2C"/>
    <n v="2422.27"/>
  </r>
  <r>
    <n v="1201"/>
    <s v="Crystal Hayes MD"/>
    <s v="Jackets"/>
    <s v="Bomber Jacket"/>
    <n v="2"/>
    <n v="3507.85"/>
    <n v="0"/>
    <x v="0"/>
    <n v="7015.7"/>
    <d v="2025-01-10T00:00:00"/>
    <x v="4"/>
    <s v="B2B"/>
    <n v="1023.04"/>
  </r>
  <r>
    <n v="1212"/>
    <s v="Bradley Quinn"/>
    <s v="Shoes"/>
    <s v="Slip-ons"/>
    <n v="1"/>
    <n v="4098.12"/>
    <n v="0"/>
    <x v="0"/>
    <n v="4098.12"/>
    <d v="2024-10-17T00:00:00"/>
    <x v="3"/>
    <s v="OTHERS"/>
    <n v="-656.35"/>
  </r>
  <r>
    <n v="1214"/>
    <s v="Alicia Hernandez"/>
    <s v="Jackets"/>
    <s v="Leather Jacket"/>
    <n v="4"/>
    <n v="1273.5999999999999"/>
    <n v="0"/>
    <x v="0"/>
    <n v="5094.3999999999996"/>
    <d v="2025-06-18T00:00:00"/>
    <x v="3"/>
    <s v="B2C"/>
    <n v="1851.89"/>
  </r>
  <r>
    <n v="1218"/>
    <s v="Jamie Alexander"/>
    <s v="Dresses"/>
    <s v="Wrap Dress"/>
    <n v="3"/>
    <n v="1544.45"/>
    <n v="0.33"/>
    <x v="1"/>
    <n v="3104.34"/>
    <d v="2025-03-31T00:00:00"/>
    <x v="3"/>
    <s v="B2B"/>
    <n v="707.56"/>
  </r>
  <r>
    <n v="1232"/>
    <s v="Sierra Miller"/>
    <s v="Shoes"/>
    <s v="Sneakers"/>
    <n v="2"/>
    <n v="2526.77"/>
    <n v="0"/>
    <x v="0"/>
    <n v="5053.54"/>
    <d v="2023-09-14T00:00:00"/>
    <x v="0"/>
    <s v="B2C"/>
    <n v="1494.67"/>
  </r>
  <r>
    <n v="1239"/>
    <s v="Karina Davis"/>
    <s v="T-Shirts"/>
    <s v="Graphic Tee"/>
    <n v="4"/>
    <n v="644.58000000000004"/>
    <n v="0"/>
    <x v="0"/>
    <n v="2578.3200000000002"/>
    <d v="2024-10-20T00:00:00"/>
    <x v="5"/>
    <s v="B2B"/>
    <n v="1097.8800000000001"/>
  </r>
  <r>
    <n v="1241"/>
    <s v="Caroline Thomas"/>
    <s v="Jeans"/>
    <s v="Slim Fit Jeans"/>
    <n v="6"/>
    <n v="3111.95"/>
    <n v="0"/>
    <x v="0"/>
    <n v="18671.7"/>
    <d v="2024-06-22T00:00:00"/>
    <x v="1"/>
    <s v="OTHERS"/>
    <n v="2814.82"/>
  </r>
  <r>
    <n v="1251"/>
    <s v="Hailey Sullivan"/>
    <s v="Dresses"/>
    <s v="Casual Midi"/>
    <n v="2"/>
    <n v="4841.3999999999996"/>
    <n v="0.6"/>
    <x v="1"/>
    <n v="3873.12"/>
    <d v="2025-02-04T00:00:00"/>
    <x v="4"/>
    <s v="OTHERS"/>
    <n v="578.37"/>
  </r>
  <r>
    <n v="1252"/>
    <s v="Brandy Clark"/>
    <s v="T-Shirts"/>
    <s v="Classic Tee"/>
    <n v="6"/>
    <n v="1638.51"/>
    <n v="0.88"/>
    <x v="1"/>
    <n v="1179.73"/>
    <d v="2025-04-02T00:00:00"/>
    <x v="0"/>
    <s v="B2C"/>
    <n v="1484.7"/>
  </r>
  <r>
    <n v="1255"/>
    <s v="Kim Campos"/>
    <s v="T-Shirts"/>
    <s v="Classic Tee"/>
    <n v="4"/>
    <n v="1849.68"/>
    <n v="0"/>
    <x v="0"/>
    <n v="7398.72"/>
    <d v="2024-12-06T00:00:00"/>
    <x v="3"/>
    <s v="B2C"/>
    <n v="-706.09"/>
  </r>
  <r>
    <n v="1258"/>
    <s v="Shane Gomez"/>
    <s v="Dresses"/>
    <s v="Bodycon"/>
    <n v="2"/>
    <n v="4313.38"/>
    <n v="0"/>
    <x v="0"/>
    <n v="8626.76"/>
    <d v="2025-03-12T00:00:00"/>
    <x v="5"/>
    <s v="B2C"/>
    <n v="2636.96"/>
  </r>
  <r>
    <n v="1259"/>
    <s v="Tyler Haney"/>
    <s v="Shoes"/>
    <s v="Boots"/>
    <n v="2"/>
    <n v="3396.92"/>
    <n v="0"/>
    <x v="0"/>
    <n v="6793.84"/>
    <d v="2025-05-05T00:00:00"/>
    <x v="2"/>
    <s v="OTHERS"/>
    <n v="-830.5"/>
  </r>
  <r>
    <n v="1267"/>
    <s v="Sarah Andrews"/>
    <s v="Jackets"/>
    <s v="Bomber Jacket"/>
    <n v="3"/>
    <n v="3255.23"/>
    <n v="0"/>
    <x v="0"/>
    <n v="9765.69"/>
    <d v="2023-11-16T00:00:00"/>
    <x v="5"/>
    <s v="B2B"/>
    <n v="650.79999999999995"/>
  </r>
  <r>
    <n v="1275"/>
    <s v="Kelly Wong"/>
    <s v="Dresses"/>
    <s v="Casual Midi"/>
    <n v="3"/>
    <n v="4132"/>
    <n v="0"/>
    <x v="0"/>
    <n v="12396"/>
    <d v="2024-02-26T00:00:00"/>
    <x v="1"/>
    <s v="B2B"/>
    <n v="2732.47"/>
  </r>
  <r>
    <n v="1277"/>
    <s v="Michael Coleman"/>
    <s v="Accessories"/>
    <s v="Sunglasses"/>
    <n v="2"/>
    <n v="4720.5200000000004"/>
    <n v="0.56999999999999995"/>
    <x v="1"/>
    <n v="4059.65"/>
    <d v="2024-09-05T00:00:00"/>
    <x v="5"/>
    <s v="B2C"/>
    <n v="1255.6600000000001"/>
  </r>
  <r>
    <n v="1296"/>
    <s v="Lori Orozco"/>
    <s v="Jeans"/>
    <s v="Slim Fit Jeans"/>
    <n v="2"/>
    <n v="2795.79"/>
    <n v="0"/>
    <x v="0"/>
    <n v="5591.58"/>
    <d v="2025-03-26T00:00:00"/>
    <x v="1"/>
    <s v="B2B"/>
    <n v="1438.47"/>
  </r>
  <r>
    <n v="1299"/>
    <s v="John Levine"/>
    <s v="Jackets"/>
    <s v="Denim Jacket"/>
    <n v="1"/>
    <n v="1026.58"/>
    <n v="0"/>
    <x v="0"/>
    <n v="1026.58"/>
    <d v="2024-10-26T00:00:00"/>
    <x v="3"/>
    <s v="B2C"/>
    <n v="1178.3699999999999"/>
  </r>
  <r>
    <n v="1307"/>
    <s v="Amber Lee"/>
    <s v="Dresses"/>
    <s v="Maxi Dress"/>
    <n v="2"/>
    <n v="2648.43"/>
    <n v="0"/>
    <x v="0"/>
    <n v="5296.86"/>
    <d v="2024-08-08T00:00:00"/>
    <x v="2"/>
    <s v="B2B"/>
    <n v="642"/>
  </r>
  <r>
    <n v="1308"/>
    <s v="Michael Joseph"/>
    <s v="Dresses"/>
    <s v="Bodycon"/>
    <n v="2"/>
    <n v="4203.62"/>
    <n v="0"/>
    <x v="0"/>
    <n v="8407.24"/>
    <d v="2025-04-08T00:00:00"/>
    <x v="0"/>
    <s v="B2B"/>
    <n v="464.65"/>
  </r>
  <r>
    <n v="1315"/>
    <s v="Mark Gonzales"/>
    <s v="Jeans"/>
    <s v="Boyfriend Jeans"/>
    <n v="2"/>
    <n v="515.04"/>
    <n v="0"/>
    <x v="0"/>
    <n v="1030.08"/>
    <d v="2024-06-30T00:00:00"/>
    <x v="1"/>
    <s v="OTHERS"/>
    <n v="-279.01"/>
  </r>
  <r>
    <n v="1328"/>
    <s v="Christine Drake"/>
    <s v="Shoes"/>
    <s v="Boots"/>
    <n v="4"/>
    <n v="3250.24"/>
    <n v="0.56000000000000005"/>
    <x v="1"/>
    <n v="5720.42"/>
    <d v="2025-05-27T00:00:00"/>
    <x v="4"/>
    <s v="B2B"/>
    <n v="2269.54"/>
  </r>
  <r>
    <n v="1329"/>
    <s v="Eric Medina"/>
    <s v="T-Shirts"/>
    <s v="Graphic Tee"/>
    <n v="1"/>
    <n v="2587.7800000000002"/>
    <n v="0"/>
    <x v="0"/>
    <n v="2587.7800000000002"/>
    <d v="2023-12-25T00:00:00"/>
    <x v="3"/>
    <s v="B2C"/>
    <n v="1667.02"/>
  </r>
  <r>
    <n v="1334"/>
    <s v="Russell Douglas"/>
    <s v="Dresses"/>
    <s v="Maxi Dress"/>
    <n v="6"/>
    <n v="1454.69"/>
    <n v="0"/>
    <x v="0"/>
    <n v="8728.14"/>
    <d v="2025-06-06T00:00:00"/>
    <x v="5"/>
    <s v="OTHERS"/>
    <n v="652.87"/>
  </r>
  <r>
    <n v="1355"/>
    <s v="Ryan James"/>
    <s v="Dresses"/>
    <s v="Bodycon"/>
    <n v="1"/>
    <n v="1054.69"/>
    <n v="0.18"/>
    <x v="1"/>
    <n v="864.85"/>
    <d v="2024-10-20T00:00:00"/>
    <x v="0"/>
    <s v="B2B"/>
    <n v="698.05"/>
  </r>
  <r>
    <n v="1362"/>
    <s v="Krista Wright"/>
    <s v="T-Shirts"/>
    <s v="Classic Tee"/>
    <n v="1"/>
    <n v="4953.0200000000004"/>
    <n v="0"/>
    <x v="0"/>
    <n v="4953.0200000000004"/>
    <d v="2024-12-07T00:00:00"/>
    <x v="2"/>
    <s v="B2C"/>
    <n v="-499.33"/>
  </r>
  <r>
    <n v="1376"/>
    <s v="Megan Smith"/>
    <s v="Accessories"/>
    <s v="Caps"/>
    <n v="4"/>
    <n v="1447.28"/>
    <n v="0"/>
    <x v="0"/>
    <n v="5789.12"/>
    <d v="2024-07-27T00:00:00"/>
    <x v="3"/>
    <s v="B2B"/>
    <n v="175.33"/>
  </r>
  <r>
    <n v="1383"/>
    <s v="Rachel Bradford"/>
    <s v="Dresses"/>
    <s v="Maxi Dress"/>
    <n v="5"/>
    <n v="2409.13"/>
    <n v="0"/>
    <x v="0"/>
    <n v="12045.65"/>
    <d v="2025-07-03T00:00:00"/>
    <x v="4"/>
    <s v="B2C"/>
    <n v="127.63"/>
  </r>
  <r>
    <n v="1389"/>
    <s v="Barbara Jones"/>
    <s v="Dresses"/>
    <s v="Wrap Dress"/>
    <n v="2"/>
    <n v="2742.38"/>
    <n v="0"/>
    <x v="0"/>
    <n v="5484.76"/>
    <d v="2023-07-25T00:00:00"/>
    <x v="2"/>
    <s v="OTHERS"/>
    <n v="1987.46"/>
  </r>
  <r>
    <n v="1031"/>
    <s v="Eric Williams"/>
    <s v="T-Shirts"/>
    <s v="Classic Tee"/>
    <n v="6"/>
    <n v="3792.09"/>
    <n v="0"/>
    <x v="0"/>
    <n v="22752.54"/>
    <d v="2023-12-03T00:00:00"/>
    <x v="1"/>
    <s v="B2C"/>
    <n v="194.31"/>
  </r>
  <r>
    <n v="1465"/>
    <s v="William Peck"/>
    <s v="Accessories"/>
    <s v="Belts"/>
    <n v="2"/>
    <n v="2215.4"/>
    <n v="0.96"/>
    <x v="1"/>
    <n v="177.23"/>
    <d v="2025-02-20T00:00:00"/>
    <x v="3"/>
    <s v="OTHERS"/>
    <n v="-85.73"/>
  </r>
  <r>
    <n v="1471"/>
    <s v="Tammy Johnson"/>
    <s v="Accessories"/>
    <s v="Belts"/>
    <n v="2"/>
    <n v="4882.03"/>
    <n v="0.23"/>
    <x v="1"/>
    <n v="7518.33"/>
    <d v="2023-08-21T00:00:00"/>
    <x v="3"/>
    <s v="B2C"/>
    <n v="-605.66999999999996"/>
  </r>
  <r>
    <n v="1475"/>
    <s v="Nancy James"/>
    <s v="T-Shirts"/>
    <s v="Oversized T-shirt"/>
    <n v="2"/>
    <n v="3692.25"/>
    <n v="0"/>
    <x v="0"/>
    <n v="7384.5"/>
    <d v="2024-11-11T00:00:00"/>
    <x v="0"/>
    <s v="B2C"/>
    <n v="433.87"/>
  </r>
  <r>
    <n v="1484"/>
    <s v="Judith Johnson"/>
    <s v="Jackets"/>
    <s v="Bomber Jacket"/>
    <n v="2"/>
    <n v="818.68"/>
    <n v="0"/>
    <x v="0"/>
    <n v="1637.36"/>
    <d v="2023-12-29T00:00:00"/>
    <x v="0"/>
    <s v="OTHERS"/>
    <n v="2357.7399999999998"/>
  </r>
  <r>
    <n v="1487"/>
    <s v="Nancy Taylor"/>
    <s v="Accessories"/>
    <s v="Sunglasses"/>
    <n v="6"/>
    <n v="1234.08"/>
    <n v="0.71"/>
    <x v="1"/>
    <n v="2147.3000000000002"/>
    <d v="2024-03-15T00:00:00"/>
    <x v="5"/>
    <s v="B2C"/>
    <n v="-849.81"/>
  </r>
  <r>
    <n v="1496"/>
    <s v="Laura Myers"/>
    <s v="Jackets"/>
    <s v="Denim Jacket"/>
    <n v="1"/>
    <n v="4874.76"/>
    <n v="0"/>
    <x v="0"/>
    <n v="4874.76"/>
    <d v="2024-12-29T00:00:00"/>
    <x v="2"/>
    <s v="B2B"/>
    <n v="2438.13"/>
  </r>
  <r>
    <n v="1498"/>
    <s v="Tiffany Calhoun"/>
    <s v="Jeans"/>
    <s v="Straight Cut"/>
    <n v="6"/>
    <n v="3771.67"/>
    <n v="0"/>
    <x v="0"/>
    <n v="22630.02"/>
    <d v="2024-10-01T00:00:00"/>
    <x v="0"/>
    <s v="B2C"/>
    <n v="2442.42"/>
  </r>
  <r>
    <n v="1503"/>
    <s v="Linda Allen"/>
    <s v="T-Shirts"/>
    <s v="Oversized T-shirt"/>
    <n v="2"/>
    <n v="4621.79"/>
    <n v="0.32"/>
    <x v="1"/>
    <n v="6285.63"/>
    <d v="2025-05-18T00:00:00"/>
    <x v="5"/>
    <s v="B2C"/>
    <n v="1350.48"/>
  </r>
  <r>
    <n v="1504"/>
    <s v="James Matthews"/>
    <s v="Shoes"/>
    <s v="Loafers"/>
    <n v="2"/>
    <n v="2558.4299999999998"/>
    <n v="0"/>
    <x v="0"/>
    <n v="5116.8599999999997"/>
    <d v="2024-11-08T00:00:00"/>
    <x v="1"/>
    <s v="B2B"/>
    <n v="-360.49"/>
  </r>
  <r>
    <n v="1515"/>
    <s v="Lauren Bailey"/>
    <s v="Accessories"/>
    <s v="Sunglasses"/>
    <n v="3"/>
    <n v="4596.03"/>
    <n v="0"/>
    <x v="0"/>
    <n v="13788.09"/>
    <d v="2025-07-01T00:00:00"/>
    <x v="5"/>
    <s v="OTHERS"/>
    <n v="-866.29"/>
  </r>
  <r>
    <n v="1519"/>
    <s v="Jennifer Alvarado"/>
    <s v="Accessories"/>
    <s v="Belts"/>
    <n v="1"/>
    <n v="3762.86"/>
    <n v="0"/>
    <x v="0"/>
    <n v="3762.86"/>
    <d v="2024-10-17T00:00:00"/>
    <x v="0"/>
    <s v="B2B"/>
    <n v="2567.73"/>
  </r>
  <r>
    <n v="1525"/>
    <s v="David Morales"/>
    <s v="Accessories"/>
    <s v="Watches"/>
    <n v="5"/>
    <n v="4591.26"/>
    <n v="0"/>
    <x v="0"/>
    <n v="22956.3"/>
    <d v="2025-01-03T00:00:00"/>
    <x v="3"/>
    <s v="B2B"/>
    <n v="-602.79999999999995"/>
  </r>
  <r>
    <n v="1526"/>
    <s v="Rachel Rios"/>
    <s v="Shoes"/>
    <s v="Sneakers"/>
    <n v="2"/>
    <n v="1884.25"/>
    <n v="0"/>
    <x v="0"/>
    <n v="3768.5"/>
    <d v="2024-10-11T00:00:00"/>
    <x v="1"/>
    <s v="OTHERS"/>
    <n v="1177.57"/>
  </r>
  <r>
    <n v="1570"/>
    <s v="William Aguilar"/>
    <s v="Jackets"/>
    <s v="Leather Jacket"/>
    <n v="1"/>
    <n v="4774.7700000000004"/>
    <n v="0.96"/>
    <x v="1"/>
    <n v="190.99"/>
    <d v="2025-04-08T00:00:00"/>
    <x v="0"/>
    <s v="B2C"/>
    <n v="-146.16999999999999"/>
  </r>
  <r>
    <n v="1576"/>
    <s v="Rick Moran"/>
    <s v="Jackets"/>
    <s v="Denim Jacket"/>
    <n v="1"/>
    <n v="1882.14"/>
    <n v="0.6"/>
    <x v="1"/>
    <n v="752.86"/>
    <d v="2025-01-05T00:00:00"/>
    <x v="2"/>
    <s v="B2B"/>
    <n v="2554.79"/>
  </r>
  <r>
    <n v="1582"/>
    <s v="David Noble"/>
    <s v="Jeans"/>
    <s v="Slim Fit Jeans"/>
    <n v="1"/>
    <n v="4809.8999999999996"/>
    <n v="0.92"/>
    <x v="1"/>
    <n v="384.79"/>
    <d v="2024-09-28T00:00:00"/>
    <x v="0"/>
    <s v="OTHERS"/>
    <n v="-356.01"/>
  </r>
  <r>
    <n v="1585"/>
    <s v="Tina Keith"/>
    <s v="Shoes"/>
    <s v="Sneakers"/>
    <n v="2"/>
    <n v="2738.72"/>
    <n v="0.89"/>
    <x v="1"/>
    <n v="602.52"/>
    <d v="2024-11-11T00:00:00"/>
    <x v="5"/>
    <s v="OTHERS"/>
    <n v="-709.13"/>
  </r>
  <r>
    <n v="1596"/>
    <s v="Mark Campbell"/>
    <s v="Jackets"/>
    <s v="Puffer Coat"/>
    <n v="3"/>
    <n v="738.29"/>
    <n v="0"/>
    <x v="0"/>
    <n v="2214.87"/>
    <d v="2024-09-23T00:00:00"/>
    <x v="2"/>
    <s v="B2B"/>
    <n v="-871.38"/>
  </r>
  <r>
    <n v="1597"/>
    <s v="Linda Ross"/>
    <s v="T-Shirts"/>
    <s v="Crop Top"/>
    <n v="1"/>
    <n v="657.51"/>
    <n v="0.77"/>
    <x v="1"/>
    <n v="151.22999999999999"/>
    <d v="2024-08-04T00:00:00"/>
    <x v="5"/>
    <s v="B2C"/>
    <n v="2744.32"/>
  </r>
  <r>
    <n v="1608"/>
    <s v="Lindsay Sanchez"/>
    <s v="Shoes"/>
    <s v="Slip-ons"/>
    <n v="3"/>
    <n v="3536.61"/>
    <n v="0.79"/>
    <x v="1"/>
    <n v="2228.06"/>
    <d v="2025-02-20T00:00:00"/>
    <x v="0"/>
    <s v="B2C"/>
    <n v="-55.01"/>
  </r>
  <r>
    <n v="1612"/>
    <s v="Stephanie Ferguson"/>
    <s v="Jackets"/>
    <s v="Puffer Coat"/>
    <n v="5"/>
    <n v="1010.24"/>
    <n v="0"/>
    <x v="0"/>
    <n v="5051.2"/>
    <d v="2025-02-26T00:00:00"/>
    <x v="4"/>
    <s v="OTHERS"/>
    <n v="2174.98"/>
  </r>
  <r>
    <n v="1613"/>
    <s v="Anna Valdez"/>
    <s v="Accessories"/>
    <s v="Watches"/>
    <n v="1"/>
    <n v="1575.26"/>
    <n v="0"/>
    <x v="0"/>
    <n v="1575.26"/>
    <d v="2025-01-08T00:00:00"/>
    <x v="5"/>
    <s v="B2C"/>
    <n v="-641.72"/>
  </r>
  <r>
    <n v="1615"/>
    <s v="Joel Fitzpatrick"/>
    <s v="Dresses"/>
    <s v="Casual Midi"/>
    <n v="6"/>
    <n v="4962.7"/>
    <n v="0.02"/>
    <x v="1"/>
    <n v="29180.68"/>
    <d v="2023-08-04T00:00:00"/>
    <x v="3"/>
    <s v="B2C"/>
    <n v="61.6"/>
  </r>
  <r>
    <n v="1621"/>
    <s v="Scott Webb"/>
    <s v="T-Shirts"/>
    <s v="Classic Tee"/>
    <n v="6"/>
    <n v="639.66999999999996"/>
    <n v="0"/>
    <x v="0"/>
    <n v="3838.02"/>
    <d v="2024-09-28T00:00:00"/>
    <x v="3"/>
    <s v="B2B"/>
    <n v="1599.1"/>
  </r>
  <r>
    <n v="1004"/>
    <s v="Heather Gordon"/>
    <s v="Jeans"/>
    <s v="Ripped Denim"/>
    <n v="6"/>
    <n v="987.35"/>
    <n v="0"/>
    <x v="0"/>
    <n v="5924.1"/>
    <d v="2025-02-04T00:00:00"/>
    <x v="0"/>
    <s v="B2B"/>
    <n v="-108.36"/>
  </r>
  <r>
    <n v="1628"/>
    <s v="Gary Simon"/>
    <s v="Dresses"/>
    <s v="Bodycon"/>
    <n v="1"/>
    <n v="3345.58"/>
    <n v="0.26"/>
    <x v="1"/>
    <n v="2475.73"/>
    <d v="2024-04-15T00:00:00"/>
    <x v="3"/>
    <s v="OTHERS"/>
    <n v="2274.54"/>
  </r>
  <r>
    <n v="1645"/>
    <s v="Brian Floyd"/>
    <s v="T-Shirts"/>
    <s v="Classic Tee"/>
    <n v="2"/>
    <n v="2660.45"/>
    <n v="0.22"/>
    <x v="1"/>
    <n v="4150.3"/>
    <d v="2023-10-08T00:00:00"/>
    <x v="1"/>
    <s v="B2B"/>
    <n v="-825.82"/>
  </r>
  <r>
    <n v="1655"/>
    <s v="Anthony Kent"/>
    <s v="Jeans"/>
    <s v="Boyfriend Jeans"/>
    <n v="5"/>
    <n v="1385.86"/>
    <n v="0.71"/>
    <x v="1"/>
    <n v="2009.5"/>
    <d v="2025-06-01T00:00:00"/>
    <x v="0"/>
    <s v="B2C"/>
    <n v="1839.94"/>
  </r>
  <r>
    <n v="1048"/>
    <s v="Michael Keller"/>
    <s v="Accessories"/>
    <s v="Watches"/>
    <n v="4"/>
    <n v="1429.93"/>
    <n v="0"/>
    <x v="0"/>
    <n v="5719.72"/>
    <d v="2024-11-14T00:00:00"/>
    <x v="2"/>
    <s v="B2B"/>
    <n v="1844.84"/>
  </r>
  <r>
    <n v="1679"/>
    <s v="Justin Rose"/>
    <s v="T-Shirts"/>
    <s v="Classic Tee"/>
    <n v="1"/>
    <n v="4198.5"/>
    <n v="0"/>
    <x v="0"/>
    <n v="4198.5"/>
    <d v="2024-07-21T00:00:00"/>
    <x v="4"/>
    <s v="OTHERS"/>
    <n v="2518.86"/>
  </r>
  <r>
    <n v="1684"/>
    <s v="Mark Silva"/>
    <s v="Dresses"/>
    <s v="Maxi Dress"/>
    <n v="2"/>
    <n v="3537.97"/>
    <n v="0.26"/>
    <x v="1"/>
    <n v="5236.2"/>
    <d v="2024-08-05T00:00:00"/>
    <x v="1"/>
    <s v="OTHERS"/>
    <n v="1385.75"/>
  </r>
  <r>
    <n v="1690"/>
    <s v="Mary Tran"/>
    <s v="Jackets"/>
    <s v="Puffer Coat"/>
    <n v="5"/>
    <n v="1941.39"/>
    <n v="0.54"/>
    <x v="1"/>
    <n v="4465.2"/>
    <d v="2025-03-04T00:00:00"/>
    <x v="5"/>
    <s v="B2C"/>
    <n v="206.95"/>
  </r>
  <r>
    <n v="1691"/>
    <s v="Kathryn Hardy"/>
    <s v="Shoes"/>
    <s v="Boots"/>
    <n v="6"/>
    <n v="2878.51"/>
    <n v="0"/>
    <x v="0"/>
    <n v="17271.060000000001"/>
    <d v="2025-04-18T00:00:00"/>
    <x v="0"/>
    <s v="OTHERS"/>
    <n v="2503.5100000000002"/>
  </r>
  <r>
    <n v="1697"/>
    <s v="Sandra Peterson"/>
    <s v="Accessories"/>
    <s v="Belts"/>
    <n v="2"/>
    <n v="1758.97"/>
    <n v="0"/>
    <x v="0"/>
    <n v="3517.94"/>
    <d v="2025-02-12T00:00:00"/>
    <x v="5"/>
    <s v="OTHERS"/>
    <n v="2026.97"/>
  </r>
  <r>
    <n v="1699"/>
    <s v="Linda Long"/>
    <s v="Shoes"/>
    <s v="Sneakers"/>
    <n v="6"/>
    <n v="701.16"/>
    <n v="0"/>
    <x v="0"/>
    <n v="4206.96"/>
    <d v="2025-02-09T00:00:00"/>
    <x v="5"/>
    <s v="B2C"/>
    <n v="2632.17"/>
  </r>
  <r>
    <n v="1705"/>
    <s v="Cynthia Conway"/>
    <s v="Shoes"/>
    <s v="Sneakers"/>
    <n v="2"/>
    <n v="4170.76"/>
    <n v="0"/>
    <x v="0"/>
    <n v="8341.52"/>
    <d v="2025-05-12T00:00:00"/>
    <x v="1"/>
    <s v="OTHERS"/>
    <n v="826.76"/>
  </r>
  <r>
    <n v="1709"/>
    <s v="Jerry Carroll"/>
    <s v="Jackets"/>
    <s v="Denim Jacket"/>
    <n v="5"/>
    <n v="1717.79"/>
    <n v="0"/>
    <x v="0"/>
    <n v="8588.9500000000007"/>
    <d v="2024-09-28T00:00:00"/>
    <x v="2"/>
    <s v="B2B"/>
    <n v="2264.16"/>
  </r>
  <r>
    <n v="1712"/>
    <s v="Ricardo Moran"/>
    <s v="Accessories"/>
    <s v="Belts"/>
    <n v="1"/>
    <n v="2386.58"/>
    <n v="0"/>
    <x v="0"/>
    <n v="2386.58"/>
    <d v="2024-08-14T00:00:00"/>
    <x v="4"/>
    <s v="B2B"/>
    <n v="1879.59"/>
  </r>
  <r>
    <n v="1717"/>
    <s v="Marie Nelson"/>
    <s v="T-Shirts"/>
    <s v="Crop Top"/>
    <n v="4"/>
    <n v="1279.2"/>
    <n v="0.27"/>
    <x v="1"/>
    <n v="3735.26"/>
    <d v="2024-11-15T00:00:00"/>
    <x v="5"/>
    <s v="B2C"/>
    <n v="453.7"/>
  </r>
  <r>
    <n v="1718"/>
    <s v="Christina Meyers"/>
    <s v="Jackets"/>
    <s v="Denim Jacket"/>
    <n v="5"/>
    <n v="3988.99"/>
    <n v="0"/>
    <x v="0"/>
    <n v="19944.95"/>
    <d v="2025-05-25T00:00:00"/>
    <x v="3"/>
    <s v="B2C"/>
    <n v="1430.08"/>
  </r>
  <r>
    <n v="1719"/>
    <s v="Lisa Vang"/>
    <s v="Jeans"/>
    <s v="Boyfriend Jeans"/>
    <n v="3"/>
    <n v="4407.79"/>
    <n v="0.64"/>
    <x v="1"/>
    <n v="4760.41"/>
    <d v="2025-03-15T00:00:00"/>
    <x v="5"/>
    <s v="B2B"/>
    <n v="1150.06"/>
  </r>
  <r>
    <n v="1720"/>
    <s v="Dylan Armstrong"/>
    <s v="Jackets"/>
    <s v="Leather Jacket"/>
    <n v="3"/>
    <n v="3667.54"/>
    <n v="0.56999999999999995"/>
    <x v="1"/>
    <n v="4731.13"/>
    <d v="2023-07-31T00:00:00"/>
    <x v="2"/>
    <s v="B2B"/>
    <n v="459.43"/>
  </r>
  <r>
    <n v="1725"/>
    <s v="Jonathan Schmidt"/>
    <s v="Dresses"/>
    <s v="Maxi Dress"/>
    <n v="3"/>
    <n v="671.5"/>
    <n v="0"/>
    <x v="0"/>
    <n v="2014.5"/>
    <d v="2024-08-13T00:00:00"/>
    <x v="3"/>
    <s v="B2B"/>
    <n v="1938.72"/>
  </r>
  <r>
    <n v="1728"/>
    <s v="Paige Lee"/>
    <s v="Shoes"/>
    <s v="Loafers"/>
    <n v="1"/>
    <n v="733.15"/>
    <n v="0.27"/>
    <x v="1"/>
    <n v="535.20000000000005"/>
    <d v="2025-01-25T00:00:00"/>
    <x v="2"/>
    <s v="B2B"/>
    <n v="273.12"/>
  </r>
  <r>
    <n v="1732"/>
    <s v="Mary Kline"/>
    <s v="Dresses"/>
    <s v="Wrap Dress"/>
    <n v="5"/>
    <n v="4982.68"/>
    <n v="0"/>
    <x v="0"/>
    <n v="24913.4"/>
    <d v="2023-11-06T00:00:00"/>
    <x v="0"/>
    <s v="B2B"/>
    <n v="2239.42"/>
  </r>
  <r>
    <n v="1733"/>
    <s v="Selena Baker"/>
    <s v="Jackets"/>
    <s v="Bomber Jacket"/>
    <n v="2"/>
    <n v="721.25"/>
    <n v="0"/>
    <x v="0"/>
    <n v="1442.5"/>
    <d v="2025-01-29T00:00:00"/>
    <x v="5"/>
    <s v="OTHERS"/>
    <n v="-936.38"/>
  </r>
  <r>
    <n v="1739"/>
    <s v="Brent Rios"/>
    <s v="Jackets"/>
    <s v="Denim Jacket"/>
    <n v="3"/>
    <n v="963.18"/>
    <n v="0"/>
    <x v="0"/>
    <n v="2889.54"/>
    <d v="2025-01-01T00:00:00"/>
    <x v="0"/>
    <s v="B2B"/>
    <n v="-114.6"/>
  </r>
  <r>
    <n v="1741"/>
    <s v="Jennifer Dominguez"/>
    <s v="T-Shirts"/>
    <s v="Graphic Tee"/>
    <n v="1"/>
    <n v="1762.56"/>
    <n v="0.98"/>
    <x v="1"/>
    <n v="35.25"/>
    <d v="2024-01-13T00:00:00"/>
    <x v="2"/>
    <s v="B2B"/>
    <n v="1217.93"/>
  </r>
  <r>
    <n v="1760"/>
    <s v="Dustin Blackburn"/>
    <s v="Accessories"/>
    <s v="Watches"/>
    <n v="3"/>
    <n v="4326.6000000000004"/>
    <n v="0"/>
    <x v="0"/>
    <n v="12979.8"/>
    <d v="2025-01-06T00:00:00"/>
    <x v="2"/>
    <s v="B2B"/>
    <n v="1495.82"/>
  </r>
  <r>
    <n v="1029"/>
    <s v="Lisa Moss"/>
    <s v="Jackets"/>
    <s v="Bomber Jacket"/>
    <n v="3"/>
    <n v="4343.12"/>
    <n v="0"/>
    <x v="0"/>
    <n v="13029.36"/>
    <d v="2025-06-17T00:00:00"/>
    <x v="3"/>
    <s v="B2C"/>
    <n v="2997.11"/>
  </r>
  <r>
    <n v="1765"/>
    <s v="Patrick Chen"/>
    <s v="Jeans"/>
    <s v="Straight Cut"/>
    <n v="6"/>
    <n v="1016.5"/>
    <n v="0"/>
    <x v="0"/>
    <n v="6099"/>
    <d v="2025-02-21T00:00:00"/>
    <x v="0"/>
    <s v="B2C"/>
    <n v="-420.11"/>
  </r>
  <r>
    <n v="1768"/>
    <s v="Sandra Jensen"/>
    <s v="Shoes"/>
    <s v="Slip-ons"/>
    <n v="5"/>
    <n v="3548.22"/>
    <n v="0"/>
    <x v="0"/>
    <n v="17741.099999999999"/>
    <d v="2023-07-26T00:00:00"/>
    <x v="0"/>
    <s v="B2B"/>
    <n v="2960.22"/>
  </r>
  <r>
    <n v="1771"/>
    <s v="Ruth Bennett"/>
    <s v="Shoes"/>
    <s v="Slip-ons"/>
    <n v="1"/>
    <n v="730.48"/>
    <n v="0"/>
    <x v="0"/>
    <n v="730.48"/>
    <d v="2025-01-07T00:00:00"/>
    <x v="3"/>
    <s v="B2C"/>
    <n v="-162.02000000000001"/>
  </r>
  <r>
    <n v="1774"/>
    <s v="Robert Hunter DDS"/>
    <s v="Accessories"/>
    <s v="Sunglasses"/>
    <n v="3"/>
    <n v="4137.43"/>
    <n v="0"/>
    <x v="0"/>
    <n v="12412.29"/>
    <d v="2025-04-30T00:00:00"/>
    <x v="2"/>
    <s v="B2C"/>
    <n v="895.53"/>
  </r>
  <r>
    <n v="1778"/>
    <s v="Brandi Stone"/>
    <s v="T-Shirts"/>
    <s v="Crop Top"/>
    <n v="5"/>
    <n v="2716.57"/>
    <n v="0"/>
    <x v="0"/>
    <n v="13582.85"/>
    <d v="2024-10-04T00:00:00"/>
    <x v="0"/>
    <s v="B2C"/>
    <n v="2059.98"/>
  </r>
  <r>
    <n v="1784"/>
    <s v="Matthew Barajas"/>
    <s v="T-Shirts"/>
    <s v="Crop Top"/>
    <n v="4"/>
    <n v="2068.0500000000002"/>
    <n v="0"/>
    <x v="0"/>
    <n v="8272.2000000000007"/>
    <d v="2024-10-08T00:00:00"/>
    <x v="0"/>
    <s v="B2C"/>
    <n v="-379.91"/>
  </r>
  <r>
    <n v="1785"/>
    <s v="Jeffery Hoover"/>
    <s v="T-Shirts"/>
    <s v="Oversized T-shirt"/>
    <n v="3"/>
    <n v="4103"/>
    <n v="0"/>
    <x v="0"/>
    <n v="12309"/>
    <d v="2025-05-27T00:00:00"/>
    <x v="3"/>
    <s v="B2C"/>
    <n v="567.89"/>
  </r>
  <r>
    <n v="1014"/>
    <s v="Gregory Palmer"/>
    <s v="Jeans"/>
    <s v="Slim Fit Jeans"/>
    <n v="5"/>
    <n v="2951.4"/>
    <n v="0"/>
    <x v="0"/>
    <n v="14757"/>
    <d v="2024-11-13T00:00:00"/>
    <x v="5"/>
    <s v="OTHERS"/>
    <n v="2811.87"/>
  </r>
  <r>
    <n v="1790"/>
    <s v="April Delgado"/>
    <s v="Jackets"/>
    <s v="Bomber Jacket"/>
    <n v="1"/>
    <n v="3268.42"/>
    <n v="0"/>
    <x v="0"/>
    <n v="3268.42"/>
    <d v="2025-05-16T00:00:00"/>
    <x v="5"/>
    <s v="B2C"/>
    <n v="259.67"/>
  </r>
  <r>
    <n v="1793"/>
    <s v="Maria Krueger"/>
    <s v="Dresses"/>
    <s v="Maxi Dress"/>
    <n v="5"/>
    <n v="1887.84"/>
    <n v="0"/>
    <x v="0"/>
    <n v="9439.2000000000007"/>
    <d v="2024-08-21T00:00:00"/>
    <x v="2"/>
    <s v="B2C"/>
    <n v="1275.03"/>
  </r>
  <r>
    <n v="1807"/>
    <s v="Angela Lopez"/>
    <s v="Jeans"/>
    <s v="Boyfriend Jeans"/>
    <n v="4"/>
    <n v="2308.12"/>
    <n v="0"/>
    <x v="0"/>
    <n v="9232.48"/>
    <d v="2025-06-03T00:00:00"/>
    <x v="1"/>
    <s v="B2C"/>
    <n v="362.88"/>
  </r>
  <r>
    <n v="1816"/>
    <s v="Danielle Love"/>
    <s v="T-Shirts"/>
    <s v="Graphic Tee"/>
    <n v="1"/>
    <n v="1130.83"/>
    <n v="0.84"/>
    <x v="1"/>
    <n v="180.93"/>
    <d v="2023-07-28T00:00:00"/>
    <x v="3"/>
    <s v="OTHERS"/>
    <n v="-804.96"/>
  </r>
  <r>
    <n v="1820"/>
    <s v="John Bailey"/>
    <s v="T-Shirts"/>
    <s v="Graphic Tee"/>
    <n v="5"/>
    <n v="1965.04"/>
    <n v="0"/>
    <x v="0"/>
    <n v="9825.2000000000007"/>
    <d v="2023-07-25T00:00:00"/>
    <x v="4"/>
    <s v="OTHERS"/>
    <n v="20.89"/>
  </r>
  <r>
    <n v="1846"/>
    <s v="Ashley Malone"/>
    <s v="Accessories"/>
    <s v="Sunglasses"/>
    <n v="1"/>
    <n v="694.71"/>
    <n v="0"/>
    <x v="0"/>
    <n v="694.71"/>
    <d v="2025-01-26T00:00:00"/>
    <x v="2"/>
    <s v="B2B"/>
    <n v="2991.27"/>
  </r>
  <r>
    <n v="1851"/>
    <s v="Ms. Brianna Jones"/>
    <s v="Jeans"/>
    <s v="Slim Fit Jeans"/>
    <n v="5"/>
    <n v="1505"/>
    <n v="0"/>
    <x v="0"/>
    <n v="7525"/>
    <d v="2024-12-11T00:00:00"/>
    <x v="1"/>
    <s v="B2B"/>
    <n v="-29.76"/>
  </r>
  <r>
    <n v="1853"/>
    <s v="Joseph Hall"/>
    <s v="Accessories"/>
    <s v="Watches"/>
    <n v="3"/>
    <n v="2862.48"/>
    <n v="0"/>
    <x v="0"/>
    <n v="8587.44"/>
    <d v="2023-09-15T00:00:00"/>
    <x v="2"/>
    <s v="B2B"/>
    <n v="2555.84"/>
  </r>
  <r>
    <n v="1855"/>
    <s v="Lisa Smith"/>
    <s v="T-Shirts"/>
    <s v="Crop Top"/>
    <n v="5"/>
    <n v="3870.85"/>
    <n v="0"/>
    <x v="0"/>
    <n v="19354.25"/>
    <d v="2025-02-03T00:00:00"/>
    <x v="1"/>
    <s v="B2C"/>
    <n v="2313.58"/>
  </r>
  <r>
    <n v="1856"/>
    <s v="Paul Garrison"/>
    <s v="Dresses"/>
    <s v="Wrap Dress"/>
    <n v="1"/>
    <n v="2737.23"/>
    <n v="0"/>
    <x v="0"/>
    <n v="2737.23"/>
    <d v="2025-05-08T00:00:00"/>
    <x v="0"/>
    <s v="B2B"/>
    <n v="2855.35"/>
  </r>
  <r>
    <n v="1859"/>
    <s v="Priscilla Williams"/>
    <s v="Accessories"/>
    <s v="Sunglasses"/>
    <n v="4"/>
    <n v="1442.86"/>
    <n v="0.85"/>
    <x v="1"/>
    <n v="865.72"/>
    <d v="2025-04-10T00:00:00"/>
    <x v="3"/>
    <s v="B2B"/>
    <n v="1183.93"/>
  </r>
  <r>
    <n v="1864"/>
    <s v="Cory Chambers"/>
    <s v="Accessories"/>
    <s v="Caps"/>
    <n v="4"/>
    <n v="1570.06"/>
    <n v="0"/>
    <x v="0"/>
    <n v="6280.24"/>
    <d v="2024-02-20T00:00:00"/>
    <x v="5"/>
    <s v="OTHERS"/>
    <n v="1017.26"/>
  </r>
  <r>
    <n v="1865"/>
    <s v="Ann Melton"/>
    <s v="Jackets"/>
    <s v="Leather Jacket"/>
    <n v="2"/>
    <n v="2496.81"/>
    <n v="0"/>
    <x v="0"/>
    <n v="4993.62"/>
    <d v="2024-04-19T00:00:00"/>
    <x v="3"/>
    <s v="OTHERS"/>
    <n v="28.7"/>
  </r>
  <r>
    <n v="1866"/>
    <s v="Dylan Roth"/>
    <s v="T-Shirts"/>
    <s v="Graphic Tee"/>
    <n v="4"/>
    <n v="4471.17"/>
    <n v="0.6"/>
    <x v="1"/>
    <n v="7153.87"/>
    <d v="2025-04-23T00:00:00"/>
    <x v="4"/>
    <s v="B2C"/>
    <n v="1335.92"/>
  </r>
  <r>
    <n v="1874"/>
    <s v="Melanie Phillips"/>
    <s v="Shoes"/>
    <s v="Slip-ons"/>
    <n v="5"/>
    <n v="2847.02"/>
    <n v="0"/>
    <x v="0"/>
    <n v="14235.1"/>
    <d v="2024-03-27T00:00:00"/>
    <x v="2"/>
    <s v="OTHERS"/>
    <n v="-573.97"/>
  </r>
  <r>
    <n v="1880"/>
    <s v="Nicholas Evans"/>
    <s v="Accessories"/>
    <s v="Watches"/>
    <n v="1"/>
    <n v="772.97"/>
    <n v="0.9"/>
    <x v="1"/>
    <n v="77.3"/>
    <d v="2024-10-10T00:00:00"/>
    <x v="4"/>
    <s v="B2B"/>
    <n v="843.81"/>
  </r>
  <r>
    <n v="1881"/>
    <s v="Patricia Brooks"/>
    <s v="Shoes"/>
    <s v="Slip-ons"/>
    <n v="3"/>
    <n v="1772.6"/>
    <n v="0"/>
    <x v="0"/>
    <n v="5317.8"/>
    <d v="2025-06-28T00:00:00"/>
    <x v="1"/>
    <s v="B2B"/>
    <n v="993.92"/>
  </r>
  <r>
    <n v="1894"/>
    <s v="Maurice Reynolds"/>
    <s v="Jackets"/>
    <s v="Leather Jacket"/>
    <n v="2"/>
    <n v="2793.89"/>
    <n v="0"/>
    <x v="0"/>
    <n v="5587.78"/>
    <d v="2023-08-22T00:00:00"/>
    <x v="3"/>
    <s v="B2B"/>
    <n v="-512.73"/>
  </r>
  <r>
    <n v="1898"/>
    <s v="Tonya Kirby"/>
    <s v="T-Shirts"/>
    <s v="Classic Tee"/>
    <n v="5"/>
    <n v="776.98"/>
    <n v="0"/>
    <x v="0"/>
    <n v="3884.9"/>
    <d v="2024-12-17T00:00:00"/>
    <x v="0"/>
    <s v="B2C"/>
    <n v="2977.35"/>
  </r>
  <r>
    <n v="1904"/>
    <s v="Meredith Murphy"/>
    <s v="Jeans"/>
    <s v="Ripped Denim"/>
    <n v="1"/>
    <n v="1339.18"/>
    <n v="0"/>
    <x v="0"/>
    <n v="1339.18"/>
    <d v="2025-07-13T00:00:00"/>
    <x v="1"/>
    <s v="B2C"/>
    <n v="554.92999999999995"/>
  </r>
  <r>
    <n v="1909"/>
    <s v="Christopher Burgess"/>
    <s v="Accessories"/>
    <s v="Sunglasses"/>
    <n v="1"/>
    <n v="3114.13"/>
    <n v="0"/>
    <x v="0"/>
    <n v="3114.13"/>
    <d v="2025-05-22T00:00:00"/>
    <x v="4"/>
    <s v="B2B"/>
    <n v="2743.54"/>
  </r>
  <r>
    <n v="1911"/>
    <s v="Bruce Brown"/>
    <s v="Jeans"/>
    <s v="Ripped Denim"/>
    <n v="6"/>
    <n v="2357.6999999999998"/>
    <n v="0"/>
    <x v="0"/>
    <n v="14146.2"/>
    <d v="2024-08-17T00:00:00"/>
    <x v="2"/>
    <s v="OTHERS"/>
    <n v="1901.07"/>
  </r>
  <r>
    <n v="1914"/>
    <s v="Rodney Lee"/>
    <s v="Jeans"/>
    <s v="Boyfriend Jeans"/>
    <n v="6"/>
    <n v="3661.49"/>
    <n v="0.11"/>
    <x v="1"/>
    <n v="19552.36"/>
    <d v="2025-07-10T00:00:00"/>
    <x v="4"/>
    <s v="OTHERS"/>
    <n v="-527.32000000000005"/>
  </r>
  <r>
    <n v="1926"/>
    <s v="Connie Wilson"/>
    <s v="Shoes"/>
    <s v="Slip-ons"/>
    <n v="2"/>
    <n v="2533.37"/>
    <n v="0"/>
    <x v="0"/>
    <n v="5066.74"/>
    <d v="2024-08-04T00:00:00"/>
    <x v="1"/>
    <s v="B2C"/>
    <n v="-490.96"/>
  </r>
  <r>
    <n v="1936"/>
    <s v="Michelle Walsh"/>
    <s v="Jeans"/>
    <s v="Ripped Denim"/>
    <n v="5"/>
    <n v="804.78"/>
    <n v="0"/>
    <x v="0"/>
    <n v="4023.9"/>
    <d v="2025-01-10T00:00:00"/>
    <x v="2"/>
    <s v="OTHERS"/>
    <n v="1109.21"/>
  </r>
  <r>
    <n v="1937"/>
    <s v="Tim Dean"/>
    <s v="Accessories"/>
    <s v="Watches"/>
    <n v="4"/>
    <n v="643.24"/>
    <n v="0"/>
    <x v="0"/>
    <n v="2572.96"/>
    <d v="2025-05-18T00:00:00"/>
    <x v="2"/>
    <s v="B2C"/>
    <n v="1670.97"/>
  </r>
  <r>
    <n v="1951"/>
    <s v="Anna Rogers"/>
    <s v="Shoes"/>
    <s v="Loafers"/>
    <n v="2"/>
    <n v="2390.4299999999998"/>
    <n v="0.35"/>
    <x v="1"/>
    <n v="3107.56"/>
    <d v="2024-10-05T00:00:00"/>
    <x v="5"/>
    <s v="OTHERS"/>
    <n v="-634.86"/>
  </r>
  <r>
    <n v="1954"/>
    <s v="Miss Angela Webb"/>
    <s v="Jeans"/>
    <s v="Ripped Denim"/>
    <n v="2"/>
    <n v="2315.7800000000002"/>
    <n v="0"/>
    <x v="0"/>
    <n v="4631.5600000000004"/>
    <d v="2025-05-26T00:00:00"/>
    <x v="2"/>
    <s v="OTHERS"/>
    <n v="2501.64"/>
  </r>
  <r>
    <n v="1955"/>
    <s v="Sean Smith"/>
    <s v="Shoes"/>
    <s v="Sneakers"/>
    <n v="1"/>
    <n v="2787.46"/>
    <n v="0.92"/>
    <x v="1"/>
    <n v="223"/>
    <d v="2025-01-11T00:00:00"/>
    <x v="0"/>
    <s v="B2B"/>
    <n v="2909.73"/>
  </r>
  <r>
    <n v="1960"/>
    <s v="Janet Murray MD"/>
    <s v="Shoes"/>
    <s v="Slip-ons"/>
    <n v="2"/>
    <n v="1369.81"/>
    <n v="0.67"/>
    <x v="1"/>
    <n v="904.07"/>
    <d v="2024-11-16T00:00:00"/>
    <x v="4"/>
    <s v="B2B"/>
    <n v="1179.44"/>
  </r>
  <r>
    <n v="1979"/>
    <s v="Thomas Shepard"/>
    <s v="Dresses"/>
    <s v="Bodycon"/>
    <n v="2"/>
    <n v="4375.7"/>
    <n v="0.91"/>
    <x v="1"/>
    <n v="787.63"/>
    <d v="2025-06-13T00:00:00"/>
    <x v="1"/>
    <s v="B2B"/>
    <n v="250.46"/>
  </r>
  <r>
    <n v="1980"/>
    <s v="Mary Hill"/>
    <s v="Accessories"/>
    <s v="Caps"/>
    <n v="1"/>
    <n v="1426.73"/>
    <n v="0"/>
    <x v="0"/>
    <n v="1426.73"/>
    <d v="2023-10-08T00:00:00"/>
    <x v="4"/>
    <s v="B2C"/>
    <n v="2451.9899999999998"/>
  </r>
  <r>
    <n v="1990"/>
    <s v="Danny Ayers"/>
    <s v="Jeans"/>
    <s v="Boyfriend Jeans"/>
    <n v="1"/>
    <n v="1203.45"/>
    <n v="0"/>
    <x v="0"/>
    <n v="1203.45"/>
    <d v="2025-04-27T00:00:00"/>
    <x v="5"/>
    <s v="B2C"/>
    <n v="1184.3599999999999"/>
  </r>
  <r>
    <n v="1994"/>
    <s v="Manuel Carter"/>
    <s v="Jeans"/>
    <s v="Ripped Denim"/>
    <n v="1"/>
    <n v="1010.48"/>
    <n v="0"/>
    <x v="0"/>
    <n v="1010.48"/>
    <d v="2024-07-26T00:00:00"/>
    <x v="3"/>
    <s v="B2C"/>
    <n v="2321.5300000000002"/>
  </r>
  <r>
    <n v="1998"/>
    <s v="Thomas Howard"/>
    <s v="T-Shirts"/>
    <s v="Classic Tee"/>
    <n v="5"/>
    <n v="2567.59"/>
    <n v="0"/>
    <x v="0"/>
    <n v="12837.95"/>
    <d v="2023-10-04T00:00:00"/>
    <x v="5"/>
    <s v="B2C"/>
    <n v="-702.7"/>
  </r>
  <r>
    <n v="2000"/>
    <s v="Christopher Ortiz"/>
    <s v="Jackets"/>
    <s v="Leather Jacket"/>
    <n v="1"/>
    <n v="1966.21"/>
    <n v="0"/>
    <x v="0"/>
    <n v="1966.21"/>
    <d v="2024-08-16T00:00:00"/>
    <x v="1"/>
    <s v="OTHERS"/>
    <n v="2035.1"/>
  </r>
  <r>
    <n v="2010"/>
    <s v="Casey Mathews"/>
    <s v="T-Shirts"/>
    <s v="Graphic Tee"/>
    <n v="1"/>
    <n v="3630.24"/>
    <n v="0"/>
    <x v="0"/>
    <n v="3630.24"/>
    <d v="2024-10-17T00:00:00"/>
    <x v="2"/>
    <s v="OTHERS"/>
    <n v="-194.42"/>
  </r>
  <r>
    <n v="2011"/>
    <s v="Heidi Ward"/>
    <s v="Shoes"/>
    <s v="Slip-ons"/>
    <n v="1"/>
    <n v="3989.68"/>
    <n v="0"/>
    <x v="0"/>
    <n v="3989.68"/>
    <d v="2025-03-31T00:00:00"/>
    <x v="0"/>
    <s v="B2C"/>
    <n v="999.35"/>
  </r>
  <r>
    <n v="2016"/>
    <s v="Susan Davis"/>
    <s v="Shoes"/>
    <s v="Boots"/>
    <n v="2"/>
    <n v="1435.85"/>
    <n v="0"/>
    <x v="0"/>
    <n v="2871.7"/>
    <d v="2025-05-09T00:00:00"/>
    <x v="3"/>
    <s v="B2B"/>
    <n v="317.58"/>
  </r>
  <r>
    <n v="2019"/>
    <s v="Matthew Gibson"/>
    <s v="Jeans"/>
    <s v="Straight Cut"/>
    <n v="2"/>
    <n v="1797.91"/>
    <n v="0"/>
    <x v="0"/>
    <n v="3595.82"/>
    <d v="2025-01-23T00:00:00"/>
    <x v="2"/>
    <s v="B2C"/>
    <n v="2132.08"/>
  </r>
  <r>
    <n v="2020"/>
    <s v="Laura Anderson"/>
    <s v="Jeans"/>
    <s v="Straight Cut"/>
    <n v="2"/>
    <n v="3954.73"/>
    <n v="0.3"/>
    <x v="1"/>
    <n v="5536.62"/>
    <d v="2025-05-11T00:00:00"/>
    <x v="1"/>
    <s v="OTHERS"/>
    <n v="-78.22"/>
  </r>
  <r>
    <n v="2024"/>
    <s v="Todd Edwards"/>
    <s v="Dresses"/>
    <s v="Casual Midi"/>
    <n v="4"/>
    <n v="4220.2"/>
    <n v="0"/>
    <x v="0"/>
    <n v="16880.8"/>
    <d v="2023-12-14T00:00:00"/>
    <x v="5"/>
    <s v="B2C"/>
    <n v="2488.92"/>
  </r>
  <r>
    <n v="2027"/>
    <s v="Vanessa Hale"/>
    <s v="Shoes"/>
    <s v="Slip-ons"/>
    <n v="5"/>
    <n v="2734.95"/>
    <n v="0.17"/>
    <x v="1"/>
    <n v="11350.04"/>
    <d v="2025-01-04T00:00:00"/>
    <x v="0"/>
    <s v="B2C"/>
    <n v="-657.03"/>
  </r>
  <r>
    <n v="2030"/>
    <s v="Larry Kent"/>
    <s v="Dresses"/>
    <s v="Wrap Dress"/>
    <n v="1"/>
    <n v="1354.69"/>
    <n v="0"/>
    <x v="0"/>
    <n v="1354.69"/>
    <d v="2024-12-11T00:00:00"/>
    <x v="3"/>
    <s v="B2C"/>
    <n v="-710.56"/>
  </r>
  <r>
    <n v="2034"/>
    <s v="Amanda Jones"/>
    <s v="Accessories"/>
    <s v="Sunglasses"/>
    <n v="6"/>
    <n v="3080.12"/>
    <n v="0.26"/>
    <x v="1"/>
    <n v="13675.73"/>
    <d v="2025-06-23T00:00:00"/>
    <x v="3"/>
    <s v="B2C"/>
    <n v="-678.89"/>
  </r>
  <r>
    <n v="2037"/>
    <s v="Robert Fletcher"/>
    <s v="Shoes"/>
    <s v="Boots"/>
    <n v="1"/>
    <n v="1120.52"/>
    <n v="0"/>
    <x v="0"/>
    <n v="1120.52"/>
    <d v="2025-07-11T00:00:00"/>
    <x v="3"/>
    <s v="B2B"/>
    <n v="-523.32000000000005"/>
  </r>
  <r>
    <n v="2051"/>
    <s v="Eric Armstrong"/>
    <s v="Accessories"/>
    <s v="Sunglasses"/>
    <n v="2"/>
    <n v="1234.27"/>
    <n v="0"/>
    <x v="0"/>
    <n v="2468.54"/>
    <d v="2025-02-28T00:00:00"/>
    <x v="4"/>
    <s v="B2B"/>
    <n v="-911.71"/>
  </r>
  <r>
    <n v="2052"/>
    <s v="John Carroll Jr."/>
    <s v="Dresses"/>
    <s v="Maxi Dress"/>
    <n v="3"/>
    <n v="4971.74"/>
    <n v="0"/>
    <x v="0"/>
    <n v="14915.22"/>
    <d v="2024-05-31T00:00:00"/>
    <x v="1"/>
    <s v="OTHERS"/>
    <n v="1386.13"/>
  </r>
  <r>
    <n v="2059"/>
    <s v="Christopher Taylor"/>
    <s v="Accessories"/>
    <s v="Sunglasses"/>
    <n v="3"/>
    <n v="1193.03"/>
    <n v="0"/>
    <x v="0"/>
    <n v="3579.09"/>
    <d v="2025-03-07T00:00:00"/>
    <x v="0"/>
    <s v="B2B"/>
    <n v="-876.83"/>
  </r>
  <r>
    <n v="2062"/>
    <s v="John Sanchez"/>
    <s v="Dresses"/>
    <s v="Casual Midi"/>
    <n v="4"/>
    <n v="2975.64"/>
    <n v="0"/>
    <x v="0"/>
    <n v="11902.56"/>
    <d v="2024-07-29T00:00:00"/>
    <x v="3"/>
    <s v="OTHERS"/>
    <n v="-644.20000000000005"/>
  </r>
  <r>
    <n v="2065"/>
    <s v="Andrea Jones"/>
    <s v="T-Shirts"/>
    <s v="Crop Top"/>
    <n v="4"/>
    <n v="3590.4"/>
    <n v="0"/>
    <x v="0"/>
    <n v="14361.6"/>
    <d v="2024-08-22T00:00:00"/>
    <x v="1"/>
    <s v="OTHERS"/>
    <n v="-86.57"/>
  </r>
  <r>
    <n v="2084"/>
    <s v="Frank Garcia MD"/>
    <s v="Jackets"/>
    <s v="Puffer Coat"/>
    <n v="6"/>
    <n v="4068.82"/>
    <n v="0"/>
    <x v="0"/>
    <n v="24412.92"/>
    <d v="2025-04-03T00:00:00"/>
    <x v="2"/>
    <s v="B2B"/>
    <n v="719.55"/>
  </r>
  <r>
    <n v="2100"/>
    <s v="Amy Parker"/>
    <s v="Shoes"/>
    <s v="Slip-ons"/>
    <n v="1"/>
    <n v="1528.94"/>
    <n v="0.67"/>
    <x v="1"/>
    <n v="504.55"/>
    <d v="2025-01-26T00:00:00"/>
    <x v="5"/>
    <s v="B2B"/>
    <n v="2294.33"/>
  </r>
  <r>
    <n v="2105"/>
    <s v="Brandon Mccormick"/>
    <s v="Shoes"/>
    <s v="Slip-ons"/>
    <n v="1"/>
    <n v="3643.63"/>
    <n v="0.19"/>
    <x v="1"/>
    <n v="2951.34"/>
    <d v="2025-04-07T00:00:00"/>
    <x v="0"/>
    <s v="B2C"/>
    <n v="375.4"/>
  </r>
  <r>
    <n v="2106"/>
    <s v="Brenda Graham"/>
    <s v="Dresses"/>
    <s v="Wrap Dress"/>
    <n v="4"/>
    <n v="4312.21"/>
    <n v="0"/>
    <x v="0"/>
    <n v="17248.84"/>
    <d v="2024-04-22T00:00:00"/>
    <x v="5"/>
    <s v="B2C"/>
    <n v="552.97"/>
  </r>
  <r>
    <n v="2118"/>
    <s v="Jacob Morris"/>
    <s v="Dresses"/>
    <s v="Wrap Dress"/>
    <n v="3"/>
    <n v="3952.46"/>
    <n v="0.82"/>
    <x v="1"/>
    <n v="2134.33"/>
    <d v="2025-04-20T00:00:00"/>
    <x v="1"/>
    <s v="B2C"/>
    <n v="836.99"/>
  </r>
  <r>
    <n v="2121"/>
    <s v="Kristen Gutierrez"/>
    <s v="Jeans"/>
    <s v="Boyfriend Jeans"/>
    <n v="2"/>
    <n v="1209.8"/>
    <n v="0"/>
    <x v="0"/>
    <n v="2419.6"/>
    <d v="2024-03-12T00:00:00"/>
    <x v="1"/>
    <s v="OTHERS"/>
    <n v="959.68"/>
  </r>
  <r>
    <n v="2143"/>
    <s v="Emily Chambers"/>
    <s v="Dresses"/>
    <s v="Wrap Dress"/>
    <n v="3"/>
    <n v="662.52"/>
    <n v="0.96"/>
    <x v="1"/>
    <n v="79.5"/>
    <d v="2025-01-23T00:00:00"/>
    <x v="1"/>
    <s v="B2B"/>
    <n v="2079.0700000000002"/>
  </r>
  <r>
    <n v="2144"/>
    <s v="Jacob Curry"/>
    <s v="Jackets"/>
    <s v="Bomber Jacket"/>
    <n v="1"/>
    <n v="906.82"/>
    <n v="0.92"/>
    <x v="1"/>
    <n v="72.55"/>
    <d v="2025-01-04T00:00:00"/>
    <x v="2"/>
    <s v="OTHERS"/>
    <n v="2348.39"/>
  </r>
  <r>
    <n v="2176"/>
    <s v="Michelle Anderson"/>
    <s v="Jackets"/>
    <s v="Puffer Coat"/>
    <n v="6"/>
    <n v="4954.67"/>
    <n v="0"/>
    <x v="0"/>
    <n v="29728.02"/>
    <d v="2025-07-14T00:00:00"/>
    <x v="3"/>
    <s v="OTHERS"/>
    <n v="2176.54"/>
  </r>
  <r>
    <n v="2190"/>
    <s v="Courtney Wright"/>
    <s v="Jeans"/>
    <s v="Boyfriend Jeans"/>
    <n v="3"/>
    <n v="3887.5"/>
    <n v="0"/>
    <x v="0"/>
    <n v="11662.5"/>
    <d v="2024-12-07T00:00:00"/>
    <x v="5"/>
    <s v="OTHERS"/>
    <n v="1787.25"/>
  </r>
  <r>
    <n v="2214"/>
    <s v="Regina Rodriguez"/>
    <s v="Dresses"/>
    <s v="Casual Midi"/>
    <n v="1"/>
    <n v="4854.03"/>
    <n v="0"/>
    <x v="0"/>
    <n v="4854.03"/>
    <d v="2024-10-12T00:00:00"/>
    <x v="2"/>
    <s v="OTHERS"/>
    <n v="864.66"/>
  </r>
  <r>
    <n v="2219"/>
    <s v="Lisa Ford"/>
    <s v="T-Shirts"/>
    <s v="Graphic Tee"/>
    <n v="4"/>
    <n v="2403.9499999999998"/>
    <n v="0"/>
    <x v="0"/>
    <n v="9615.7999999999993"/>
    <d v="2024-10-23T00:00:00"/>
    <x v="0"/>
    <s v="B2C"/>
    <n v="858.23"/>
  </r>
  <r>
    <n v="2220"/>
    <s v="Robert Cline"/>
    <s v="Accessories"/>
    <s v="Belts"/>
    <n v="1"/>
    <n v="2170.71"/>
    <n v="0.57999999999999996"/>
    <x v="1"/>
    <n v="911.7"/>
    <d v="2025-06-02T00:00:00"/>
    <x v="1"/>
    <s v="OTHERS"/>
    <n v="1689.68"/>
  </r>
  <r>
    <n v="2223"/>
    <s v="Alexander Costa Jr."/>
    <s v="Jeans"/>
    <s v="Straight Cut"/>
    <n v="1"/>
    <n v="3445.9"/>
    <n v="0.81"/>
    <x v="1"/>
    <n v="654.72"/>
    <d v="2024-12-28T00:00:00"/>
    <x v="0"/>
    <s v="B2B"/>
    <n v="2374.1799999999998"/>
  </r>
  <r>
    <n v="2233"/>
    <s v="Debra Wilcox"/>
    <s v="Dresses"/>
    <s v="Casual Midi"/>
    <n v="1"/>
    <n v="4604.8500000000004"/>
    <n v="0.14000000000000001"/>
    <x v="1"/>
    <n v="3960.17"/>
    <d v="2025-07-16T00:00:00"/>
    <x v="3"/>
    <s v="OTHERS"/>
    <n v="-627.16999999999996"/>
  </r>
  <r>
    <n v="2238"/>
    <s v="Marcus Harris"/>
    <s v="T-Shirts"/>
    <s v="Classic Tee"/>
    <n v="1"/>
    <n v="4808.3500000000004"/>
    <n v="0"/>
    <x v="0"/>
    <n v="4808.3500000000004"/>
    <d v="2025-03-28T00:00:00"/>
    <x v="2"/>
    <s v="OTHERS"/>
    <n v="-282.61"/>
  </r>
  <r>
    <n v="2242"/>
    <s v="Andrew Trevino"/>
    <s v="Shoes"/>
    <s v="Loafers"/>
    <n v="6"/>
    <n v="4450.17"/>
    <n v="0"/>
    <x v="0"/>
    <n v="26701.02"/>
    <d v="2024-11-17T00:00:00"/>
    <x v="2"/>
    <s v="OTHERS"/>
    <n v="-96.55"/>
  </r>
  <r>
    <n v="2252"/>
    <s v="Lauren Cook"/>
    <s v="Shoes"/>
    <s v="Sneakers"/>
    <n v="6"/>
    <n v="2755.37"/>
    <n v="0"/>
    <x v="0"/>
    <n v="16532.22"/>
    <d v="2025-05-16T00:00:00"/>
    <x v="5"/>
    <s v="B2C"/>
    <n v="613.59"/>
  </r>
  <r>
    <n v="2255"/>
    <s v="Julian Nielsen"/>
    <s v="Accessories"/>
    <s v="Belts"/>
    <n v="2"/>
    <n v="4478.08"/>
    <n v="0"/>
    <x v="0"/>
    <n v="8956.16"/>
    <d v="2025-05-05T00:00:00"/>
    <x v="4"/>
    <s v="OTHERS"/>
    <n v="2090.38"/>
  </r>
  <r>
    <n v="2259"/>
    <s v="Johnny Doyle"/>
    <s v="Shoes"/>
    <s v="Sneakers"/>
    <n v="1"/>
    <n v="2854.4"/>
    <n v="0"/>
    <x v="0"/>
    <n v="2854.4"/>
    <d v="2024-08-04T00:00:00"/>
    <x v="1"/>
    <s v="B2C"/>
    <n v="542.9"/>
  </r>
  <r>
    <n v="2270"/>
    <s v="Thomas Murillo"/>
    <s v="Dresses"/>
    <s v="Maxi Dress"/>
    <n v="1"/>
    <n v="2710.56"/>
    <n v="0"/>
    <x v="0"/>
    <n v="2710.56"/>
    <d v="2025-05-06T00:00:00"/>
    <x v="5"/>
    <s v="OTHERS"/>
    <n v="2414.4699999999998"/>
  </r>
  <r>
    <n v="2272"/>
    <s v="Martin Lynch"/>
    <s v="Jackets"/>
    <s v="Leather Jacket"/>
    <n v="4"/>
    <n v="2540.1"/>
    <n v="0.69"/>
    <x v="1"/>
    <n v="3149.72"/>
    <d v="2025-05-26T00:00:00"/>
    <x v="0"/>
    <s v="B2C"/>
    <n v="733.06"/>
  </r>
  <r>
    <n v="2273"/>
    <s v="Laura Perez"/>
    <s v="Jeans"/>
    <s v="Ripped Denim"/>
    <n v="6"/>
    <n v="3064.21"/>
    <n v="0"/>
    <x v="0"/>
    <n v="18385.259999999998"/>
    <d v="2024-10-06T00:00:00"/>
    <x v="5"/>
    <s v="B2C"/>
    <n v="1569.81"/>
  </r>
  <r>
    <n v="2279"/>
    <s v="Mark Henderson"/>
    <s v="Accessories"/>
    <s v="Belts"/>
    <n v="6"/>
    <n v="3294.21"/>
    <n v="0.89"/>
    <x v="1"/>
    <n v="2174.1799999999998"/>
    <d v="2024-10-07T00:00:00"/>
    <x v="4"/>
    <s v="B2C"/>
    <n v="1874.46"/>
  </r>
  <r>
    <n v="2290"/>
    <s v="Theresa Stone"/>
    <s v="Dresses"/>
    <s v="Casual Midi"/>
    <n v="4"/>
    <n v="1405.39"/>
    <n v="0"/>
    <x v="0"/>
    <n v="5621.56"/>
    <d v="2024-08-23T00:00:00"/>
    <x v="1"/>
    <s v="B2C"/>
    <n v="712.37"/>
  </r>
  <r>
    <n v="2313"/>
    <s v="Shawn Martinez"/>
    <s v="Dresses"/>
    <s v="Casual Midi"/>
    <n v="2"/>
    <n v="2440.38"/>
    <n v="0"/>
    <x v="0"/>
    <n v="4880.76"/>
    <d v="2025-03-08T00:00:00"/>
    <x v="1"/>
    <s v="B2B"/>
    <n v="-899.53"/>
  </r>
  <r>
    <n v="2316"/>
    <s v="April Ward"/>
    <s v="Jeans"/>
    <s v="Ripped Denim"/>
    <n v="4"/>
    <n v="1529.48"/>
    <n v="0"/>
    <x v="0"/>
    <n v="6117.92"/>
    <d v="2024-04-28T00:00:00"/>
    <x v="0"/>
    <s v="B2C"/>
    <n v="1325.56"/>
  </r>
  <r>
    <n v="2331"/>
    <s v="Raymond Floyd"/>
    <s v="Dresses"/>
    <s v="Casual Midi"/>
    <n v="2"/>
    <n v="2967.49"/>
    <n v="0"/>
    <x v="0"/>
    <n v="5934.98"/>
    <d v="2025-05-04T00:00:00"/>
    <x v="4"/>
    <s v="OTHERS"/>
    <n v="1890.42"/>
  </r>
  <r>
    <n v="2335"/>
    <s v="Heather Walsh"/>
    <s v="Accessories"/>
    <s v="Caps"/>
    <n v="1"/>
    <n v="3508.21"/>
    <n v="0.62"/>
    <x v="1"/>
    <n v="1333.12"/>
    <d v="2024-10-21T00:00:00"/>
    <x v="1"/>
    <s v="B2B"/>
    <n v="-309.14999999999998"/>
  </r>
  <r>
    <n v="2338"/>
    <s v="Gregory Kennedy"/>
    <s v="Dresses"/>
    <s v="Wrap Dress"/>
    <n v="5"/>
    <n v="1378.76"/>
    <n v="0.19"/>
    <x v="1"/>
    <n v="5583.98"/>
    <d v="2025-02-11T00:00:00"/>
    <x v="0"/>
    <s v="B2B"/>
    <n v="2284.9699999999998"/>
  </r>
  <r>
    <n v="2339"/>
    <s v="Robert Nelson"/>
    <s v="Jeans"/>
    <s v="Ripped Denim"/>
    <n v="1"/>
    <n v="1289.24"/>
    <n v="0"/>
    <x v="0"/>
    <n v="1289.24"/>
    <d v="2024-10-30T00:00:00"/>
    <x v="0"/>
    <s v="B2B"/>
    <n v="555.48"/>
  </r>
  <r>
    <n v="2345"/>
    <s v="Susan Gonzalez"/>
    <s v="Jeans"/>
    <s v="Slim Fit Jeans"/>
    <n v="1"/>
    <n v="1095.03"/>
    <n v="0"/>
    <x v="0"/>
    <n v="1095.03"/>
    <d v="2024-12-19T00:00:00"/>
    <x v="2"/>
    <s v="B2C"/>
    <n v="1317.75"/>
  </r>
  <r>
    <n v="2346"/>
    <s v="Christopher Hawkins"/>
    <s v="Jeans"/>
    <s v="Boyfriend Jeans"/>
    <n v="2"/>
    <n v="4922.99"/>
    <n v="0"/>
    <x v="0"/>
    <n v="9845.98"/>
    <d v="2024-11-16T00:00:00"/>
    <x v="1"/>
    <s v="B2B"/>
    <n v="-712.37"/>
  </r>
  <r>
    <n v="2350"/>
    <s v="Victoria Greene"/>
    <s v="Shoes"/>
    <s v="Slip-ons"/>
    <n v="1"/>
    <n v="3148.46"/>
    <n v="0"/>
    <x v="0"/>
    <n v="3148.46"/>
    <d v="2023-09-23T00:00:00"/>
    <x v="1"/>
    <s v="B2B"/>
    <n v="-165.49"/>
  </r>
  <r>
    <n v="2357"/>
    <s v="Catherine Young"/>
    <s v="Jeans"/>
    <s v="Ripped Denim"/>
    <n v="5"/>
    <n v="509.54"/>
    <n v="0"/>
    <x v="0"/>
    <n v="2547.6999999999998"/>
    <d v="2024-12-23T00:00:00"/>
    <x v="5"/>
    <s v="B2C"/>
    <n v="2233.39"/>
  </r>
  <r>
    <n v="2363"/>
    <s v="Kara Waller"/>
    <s v="Jeans"/>
    <s v="Boyfriend Jeans"/>
    <n v="1"/>
    <n v="3640.29"/>
    <n v="0.86"/>
    <x v="1"/>
    <n v="509.64"/>
    <d v="2024-12-02T00:00:00"/>
    <x v="3"/>
    <s v="B2C"/>
    <n v="879.32"/>
  </r>
  <r>
    <n v="2366"/>
    <s v="Aaron Molina"/>
    <s v="Shoes"/>
    <s v="Sneakers"/>
    <n v="6"/>
    <n v="429.37"/>
    <n v="0"/>
    <x v="0"/>
    <n v="2576.2199999999998"/>
    <d v="2024-06-29T00:00:00"/>
    <x v="0"/>
    <s v="B2B"/>
    <n v="-21.4"/>
  </r>
  <r>
    <n v="2367"/>
    <s v="Javier Sloan"/>
    <s v="Shoes"/>
    <s v="Sneakers"/>
    <n v="3"/>
    <n v="500.41"/>
    <n v="0"/>
    <x v="0"/>
    <n v="1501.23"/>
    <d v="2024-12-22T00:00:00"/>
    <x v="0"/>
    <s v="OTHERS"/>
    <n v="1732.45"/>
  </r>
  <r>
    <n v="2371"/>
    <s v="Charles Ray"/>
    <s v="Shoes"/>
    <s v="Loafers"/>
    <n v="3"/>
    <n v="4467.25"/>
    <n v="0"/>
    <x v="0"/>
    <n v="13401.75"/>
    <d v="2025-06-06T00:00:00"/>
    <x v="3"/>
    <s v="OTHERS"/>
    <n v="2388.5500000000002"/>
  </r>
  <r>
    <n v="2377"/>
    <s v="David Mitchell"/>
    <s v="T-Shirts"/>
    <s v="Classic Tee"/>
    <n v="4"/>
    <n v="4458.4799999999996"/>
    <n v="0"/>
    <x v="0"/>
    <n v="17833.919999999998"/>
    <d v="2024-10-09T00:00:00"/>
    <x v="1"/>
    <s v="B2B"/>
    <n v="631"/>
  </r>
  <r>
    <n v="2379"/>
    <s v="Daniel Greer"/>
    <s v="Jackets"/>
    <s v="Denim Jacket"/>
    <n v="6"/>
    <n v="2188.7399999999998"/>
    <n v="0"/>
    <x v="0"/>
    <n v="13132.44"/>
    <d v="2024-02-21T00:00:00"/>
    <x v="1"/>
    <s v="B2C"/>
    <n v="-885.72"/>
  </r>
  <r>
    <n v="2384"/>
    <s v="Eric Hoffman"/>
    <s v="Jackets"/>
    <s v="Denim Jacket"/>
    <n v="3"/>
    <n v="1625.58"/>
    <n v="0.1"/>
    <x v="1"/>
    <n v="4389.07"/>
    <d v="2025-07-16T00:00:00"/>
    <x v="4"/>
    <s v="OTHERS"/>
    <n v="2368.5500000000002"/>
  </r>
  <r>
    <n v="2392"/>
    <s v="Adrienne Anderson MD"/>
    <s v="Accessories"/>
    <s v="Sunglasses"/>
    <n v="3"/>
    <n v="4550.95"/>
    <n v="0"/>
    <x v="0"/>
    <n v="13652.85"/>
    <d v="2025-03-20T00:00:00"/>
    <x v="2"/>
    <s v="OTHERS"/>
    <n v="-951.64"/>
  </r>
  <r>
    <n v="2393"/>
    <s v="David Snyder"/>
    <s v="Jackets"/>
    <s v="Bomber Jacket"/>
    <n v="5"/>
    <n v="753.85"/>
    <n v="0"/>
    <x v="0"/>
    <n v="3769.25"/>
    <d v="2024-11-19T00:00:00"/>
    <x v="5"/>
    <s v="B2C"/>
    <n v="251.29"/>
  </r>
  <r>
    <n v="2399"/>
    <s v="Amy Frederick"/>
    <s v="Jeans"/>
    <s v="Slim Fit Jeans"/>
    <n v="2"/>
    <n v="3643.5"/>
    <n v="0"/>
    <x v="0"/>
    <n v="7287"/>
    <d v="2024-08-04T00:00:00"/>
    <x v="5"/>
    <s v="B2B"/>
    <n v="1452.6"/>
  </r>
  <r>
    <n v="2401"/>
    <s v="Kayla Peters"/>
    <s v="Accessories"/>
    <s v="Belts"/>
    <n v="2"/>
    <n v="2159.6799999999998"/>
    <n v="0"/>
    <x v="0"/>
    <n v="4319.3599999999997"/>
    <d v="2025-01-09T00:00:00"/>
    <x v="4"/>
    <s v="OTHERS"/>
    <n v="1873.8"/>
  </r>
  <r>
    <n v="2419"/>
    <s v="Rebekah Parker"/>
    <s v="Shoes"/>
    <s v="Slip-ons"/>
    <n v="2"/>
    <n v="1832.16"/>
    <n v="0"/>
    <x v="0"/>
    <n v="3664.32"/>
    <d v="2024-09-17T00:00:00"/>
    <x v="0"/>
    <s v="B2C"/>
    <n v="2843.62"/>
  </r>
  <r>
    <n v="2421"/>
    <s v="Ashley Harrison"/>
    <s v="Accessories"/>
    <s v="Caps"/>
    <n v="4"/>
    <n v="4411.3900000000003"/>
    <n v="0"/>
    <x v="0"/>
    <n v="17645.560000000001"/>
    <d v="2024-08-12T00:00:00"/>
    <x v="3"/>
    <s v="OTHERS"/>
    <n v="-501.29"/>
  </r>
  <r>
    <n v="2424"/>
    <s v="James Day"/>
    <s v="Shoes"/>
    <s v="Loafers"/>
    <n v="5"/>
    <n v="2476.15"/>
    <n v="0"/>
    <x v="0"/>
    <n v="12380.75"/>
    <d v="2023-12-19T00:00:00"/>
    <x v="4"/>
    <s v="B2C"/>
    <n v="387.88"/>
  </r>
  <r>
    <n v="2427"/>
    <s v="Sean Tran"/>
    <s v="T-Shirts"/>
    <s v="Classic Tee"/>
    <n v="5"/>
    <n v="1510.89"/>
    <n v="0"/>
    <x v="0"/>
    <n v="7554.45"/>
    <d v="2024-11-15T00:00:00"/>
    <x v="1"/>
    <s v="B2B"/>
    <n v="2959.19"/>
  </r>
  <r>
    <n v="2429"/>
    <s v="Melissa Clark"/>
    <s v="Shoes"/>
    <s v="Loafers"/>
    <n v="1"/>
    <n v="4193.1000000000004"/>
    <n v="0"/>
    <x v="0"/>
    <n v="4193.1000000000004"/>
    <d v="2024-09-26T00:00:00"/>
    <x v="3"/>
    <s v="B2C"/>
    <n v="436.03"/>
  </r>
  <r>
    <n v="2443"/>
    <s v="Erin Cook"/>
    <s v="T-Shirts"/>
    <s v="Graphic Tee"/>
    <n v="1"/>
    <n v="4981.8599999999997"/>
    <n v="0"/>
    <x v="0"/>
    <n v="4981.8599999999997"/>
    <d v="2024-09-27T00:00:00"/>
    <x v="4"/>
    <s v="OTHERS"/>
    <n v="1410.16"/>
  </r>
  <r>
    <n v="2447"/>
    <s v="Ronald Cohen"/>
    <s v="Dresses"/>
    <s v="Maxi Dress"/>
    <n v="6"/>
    <n v="1773.3"/>
    <n v="0"/>
    <x v="0"/>
    <n v="10639.8"/>
    <d v="2024-11-11T00:00:00"/>
    <x v="3"/>
    <s v="OTHERS"/>
    <n v="2073.35"/>
  </r>
  <r>
    <n v="2450"/>
    <s v="Elizabeth Rice"/>
    <s v="Accessories"/>
    <s v="Caps"/>
    <n v="2"/>
    <n v="3333.87"/>
    <n v="0"/>
    <x v="0"/>
    <n v="6667.74"/>
    <d v="2025-05-05T00:00:00"/>
    <x v="2"/>
    <s v="OTHERS"/>
    <n v="1673.63"/>
  </r>
  <r>
    <n v="2460"/>
    <s v="Jon Hernandez"/>
    <s v="Accessories"/>
    <s v="Watches"/>
    <n v="2"/>
    <n v="3157.28"/>
    <n v="7.0000000000000007E-2"/>
    <x v="1"/>
    <n v="5872.54"/>
    <d v="2023-09-25T00:00:00"/>
    <x v="3"/>
    <s v="OTHERS"/>
    <n v="971.15"/>
  </r>
  <r>
    <n v="2461"/>
    <s v="David Alvarez"/>
    <s v="Jackets"/>
    <s v="Puffer Coat"/>
    <n v="1"/>
    <n v="4225.58"/>
    <n v="0"/>
    <x v="0"/>
    <n v="4225.58"/>
    <d v="2025-01-28T00:00:00"/>
    <x v="3"/>
    <s v="B2B"/>
    <n v="-793.29"/>
  </r>
  <r>
    <n v="2462"/>
    <s v="John Perry"/>
    <s v="Accessories"/>
    <s v="Belts"/>
    <n v="2"/>
    <n v="2123.2199999999998"/>
    <n v="0"/>
    <x v="0"/>
    <n v="4246.4399999999996"/>
    <d v="2025-06-25T00:00:00"/>
    <x v="0"/>
    <s v="OTHERS"/>
    <n v="2645.36"/>
  </r>
  <r>
    <n v="2490"/>
    <s v="Cindy Zamora"/>
    <s v="T-Shirts"/>
    <s v="Oversized T-shirt"/>
    <n v="5"/>
    <n v="688.38"/>
    <n v="0"/>
    <x v="0"/>
    <n v="3441.9"/>
    <d v="2024-11-28T00:00:00"/>
    <x v="1"/>
    <s v="OTHERS"/>
    <n v="-25.21"/>
  </r>
  <r>
    <n v="2497"/>
    <s v="Darren Bailey"/>
    <s v="Accessories"/>
    <s v="Watches"/>
    <n v="1"/>
    <n v="3607.5"/>
    <n v="0"/>
    <x v="0"/>
    <n v="3607.5"/>
    <d v="2025-01-13T00:00:00"/>
    <x v="2"/>
    <s v="B2B"/>
    <n v="-341.21"/>
  </r>
  <r>
    <n v="2498"/>
    <s v="Wanda Medina"/>
    <s v="Jackets"/>
    <s v="Puffer Coat"/>
    <n v="4"/>
    <n v="2043.67"/>
    <n v="0"/>
    <x v="0"/>
    <n v="8174.68"/>
    <d v="2023-09-07T00:00:00"/>
    <x v="4"/>
    <s v="B2C"/>
    <n v="-24.72"/>
  </r>
  <r>
    <n v="2499"/>
    <s v="Heather Taylor"/>
    <s v="Dresses"/>
    <s v="Casual Midi"/>
    <n v="2"/>
    <n v="4638.76"/>
    <n v="0"/>
    <x v="0"/>
    <n v="9277.52"/>
    <d v="2025-01-20T00:00:00"/>
    <x v="3"/>
    <s v="OTHERS"/>
    <n v="379.89"/>
  </r>
  <r>
    <n v="2505"/>
    <s v="Jeff Dorsey"/>
    <s v="Shoes"/>
    <s v="Sneakers"/>
    <n v="1"/>
    <n v="1258.77"/>
    <n v="0.71"/>
    <x v="1"/>
    <n v="365.04"/>
    <d v="2025-01-01T00:00:00"/>
    <x v="3"/>
    <s v="B2B"/>
    <n v="549.6"/>
  </r>
  <r>
    <n v="2516"/>
    <s v="Ashley Martin"/>
    <s v="Jeans"/>
    <s v="Ripped Denim"/>
    <n v="1"/>
    <n v="1927.87"/>
    <n v="0"/>
    <x v="0"/>
    <n v="1927.87"/>
    <d v="2025-06-17T00:00:00"/>
    <x v="5"/>
    <s v="B2B"/>
    <n v="-876.36"/>
  </r>
  <r>
    <n v="2518"/>
    <s v="Selena Johnson"/>
    <s v="Shoes"/>
    <s v="Boots"/>
    <n v="6"/>
    <n v="773.28"/>
    <n v="0"/>
    <x v="0"/>
    <n v="4639.68"/>
    <d v="2025-03-28T00:00:00"/>
    <x v="4"/>
    <s v="OTHERS"/>
    <n v="608.25"/>
  </r>
  <r>
    <n v="2522"/>
    <s v="Russell King"/>
    <s v="Dresses"/>
    <s v="Wrap Dress"/>
    <n v="4"/>
    <n v="2847.02"/>
    <n v="0.56999999999999995"/>
    <x v="1"/>
    <n v="4896.87"/>
    <d v="2023-09-02T00:00:00"/>
    <x v="4"/>
    <s v="OTHERS"/>
    <n v="1592.04"/>
  </r>
  <r>
    <n v="2531"/>
    <s v="Ricky Nelson"/>
    <s v="T-Shirts"/>
    <s v="Graphic Tee"/>
    <n v="2"/>
    <n v="816.33"/>
    <n v="0"/>
    <x v="0"/>
    <n v="1632.66"/>
    <d v="2024-12-12T00:00:00"/>
    <x v="0"/>
    <s v="B2C"/>
    <n v="868.11"/>
  </r>
  <r>
    <n v="2543"/>
    <s v="Kevin Allison"/>
    <s v="T-Shirts"/>
    <s v="Classic Tee"/>
    <n v="4"/>
    <n v="3501.9"/>
    <n v="0"/>
    <x v="0"/>
    <n v="14007.6"/>
    <d v="2023-10-22T00:00:00"/>
    <x v="3"/>
    <s v="OTHERS"/>
    <n v="1747.96"/>
  </r>
  <r>
    <n v="2546"/>
    <s v="Traci Jennings"/>
    <s v="T-Shirts"/>
    <s v="Classic Tee"/>
    <n v="1"/>
    <n v="3574.54"/>
    <n v="0"/>
    <x v="0"/>
    <n v="3574.54"/>
    <d v="2024-08-09T00:00:00"/>
    <x v="0"/>
    <s v="B2C"/>
    <n v="-305.77"/>
  </r>
  <r>
    <n v="2549"/>
    <s v="Colin Osborne"/>
    <s v="Dresses"/>
    <s v="Wrap Dress"/>
    <n v="6"/>
    <n v="2319.23"/>
    <n v="0"/>
    <x v="0"/>
    <n v="13915.38"/>
    <d v="2025-01-17T00:00:00"/>
    <x v="2"/>
    <s v="B2C"/>
    <n v="-854.91"/>
  </r>
  <r>
    <n v="2550"/>
    <s v="Anthony Love"/>
    <s v="Jackets"/>
    <s v="Leather Jacket"/>
    <n v="1"/>
    <n v="1463.64"/>
    <n v="0"/>
    <x v="0"/>
    <n v="1463.64"/>
    <d v="2025-04-30T00:00:00"/>
    <x v="3"/>
    <s v="B2C"/>
    <n v="1667.2"/>
  </r>
  <r>
    <n v="2566"/>
    <s v="Raymond Mcdonald"/>
    <s v="T-Shirts"/>
    <s v="Crop Top"/>
    <n v="1"/>
    <n v="4482.08"/>
    <n v="0"/>
    <x v="0"/>
    <n v="4482.08"/>
    <d v="2024-08-04T00:00:00"/>
    <x v="1"/>
    <s v="OTHERS"/>
    <n v="464.92"/>
  </r>
  <r>
    <n v="1013"/>
    <s v="Tamara Hopkins"/>
    <s v="Shoes"/>
    <s v="Sneakers"/>
    <n v="6"/>
    <n v="2355.2800000000002"/>
    <n v="0"/>
    <x v="0"/>
    <n v="14131.68"/>
    <d v="2025-01-17T00:00:00"/>
    <x v="2"/>
    <s v="OTHERS"/>
    <n v="330.11"/>
  </r>
  <r>
    <n v="2571"/>
    <s v="Julie Grant"/>
    <s v="Dresses"/>
    <s v="Wrap Dress"/>
    <n v="2"/>
    <n v="3061.98"/>
    <n v="0"/>
    <x v="0"/>
    <n v="6123.96"/>
    <d v="2025-07-05T00:00:00"/>
    <x v="2"/>
    <s v="OTHERS"/>
    <n v="2553.09"/>
  </r>
  <r>
    <n v="2575"/>
    <s v="James Thompson"/>
    <s v="Shoes"/>
    <s v="Sneakers"/>
    <n v="2"/>
    <n v="2714.78"/>
    <n v="0.42"/>
    <x v="1"/>
    <n v="3149.14"/>
    <d v="2025-05-08T00:00:00"/>
    <x v="2"/>
    <s v="B2B"/>
    <n v="1220.49"/>
  </r>
  <r>
    <n v="2577"/>
    <s v="Brian Young"/>
    <s v="Jeans"/>
    <s v="Straight Cut"/>
    <n v="1"/>
    <n v="609.05999999999995"/>
    <n v="0.17"/>
    <x v="1"/>
    <n v="505.52"/>
    <d v="2024-11-01T00:00:00"/>
    <x v="2"/>
    <s v="B2C"/>
    <n v="110.23"/>
  </r>
  <r>
    <n v="2600"/>
    <s v="Kristie Williams"/>
    <s v="Shoes"/>
    <s v="Boots"/>
    <n v="5"/>
    <n v="4832.16"/>
    <n v="0"/>
    <x v="0"/>
    <n v="24160.799999999999"/>
    <d v="2024-09-20T00:00:00"/>
    <x v="4"/>
    <s v="B2B"/>
    <n v="1707.66"/>
  </r>
  <r>
    <n v="2604"/>
    <s v="Angela Wiggins"/>
    <s v="Shoes"/>
    <s v="Boots"/>
    <n v="1"/>
    <n v="2171.2199999999998"/>
    <n v="0"/>
    <x v="0"/>
    <n v="2171.2199999999998"/>
    <d v="2025-05-29T00:00:00"/>
    <x v="1"/>
    <s v="B2B"/>
    <n v="2595.2199999999998"/>
  </r>
  <r>
    <n v="2605"/>
    <s v="Diana Buchanan"/>
    <s v="Dresses"/>
    <s v="Casual Midi"/>
    <n v="1"/>
    <n v="1636.26"/>
    <n v="0.94"/>
    <x v="1"/>
    <n v="98.18"/>
    <d v="2025-01-10T00:00:00"/>
    <x v="3"/>
    <s v="OTHERS"/>
    <n v="615.80999999999995"/>
  </r>
  <r>
    <n v="2610"/>
    <s v="Amanda Wolf"/>
    <s v="T-Shirts"/>
    <s v="Oversized T-shirt"/>
    <n v="5"/>
    <n v="1606.99"/>
    <n v="0"/>
    <x v="0"/>
    <n v="8034.95"/>
    <d v="2023-12-23T00:00:00"/>
    <x v="2"/>
    <s v="B2C"/>
    <n v="1743.11"/>
  </r>
  <r>
    <n v="2631"/>
    <s v="James Soto"/>
    <s v="Accessories"/>
    <s v="Watches"/>
    <n v="2"/>
    <n v="1753.02"/>
    <n v="0.23"/>
    <x v="1"/>
    <n v="2699.65"/>
    <d v="2025-01-20T00:00:00"/>
    <x v="4"/>
    <s v="OTHERS"/>
    <n v="-766.47"/>
  </r>
  <r>
    <n v="2636"/>
    <s v="Amy Riley"/>
    <s v="Dresses"/>
    <s v="Wrap Dress"/>
    <n v="3"/>
    <n v="1006.98"/>
    <n v="0"/>
    <x v="0"/>
    <n v="3020.94"/>
    <d v="2023-08-13T00:00:00"/>
    <x v="0"/>
    <s v="B2B"/>
    <n v="1576.71"/>
  </r>
  <r>
    <n v="2638"/>
    <s v="Sharon Reed"/>
    <s v="Jackets"/>
    <s v="Leather Jacket"/>
    <n v="6"/>
    <n v="2012.14"/>
    <n v="0"/>
    <x v="0"/>
    <n v="12072.84"/>
    <d v="2024-12-17T00:00:00"/>
    <x v="5"/>
    <s v="B2B"/>
    <n v="3.53"/>
  </r>
  <r>
    <n v="2640"/>
    <s v="Richard Lopez"/>
    <s v="Jackets"/>
    <s v="Leather Jacket"/>
    <n v="6"/>
    <n v="4720.2299999999996"/>
    <n v="0.69"/>
    <x v="1"/>
    <n v="8779.6299999999992"/>
    <d v="2023-12-29T00:00:00"/>
    <x v="2"/>
    <s v="B2B"/>
    <n v="2243.09"/>
  </r>
  <r>
    <n v="2642"/>
    <s v="Andrew Sharp"/>
    <s v="Jackets"/>
    <s v="Bomber Jacket"/>
    <n v="1"/>
    <n v="1043.58"/>
    <n v="0"/>
    <x v="0"/>
    <n v="1043.58"/>
    <d v="2025-07-08T00:00:00"/>
    <x v="3"/>
    <s v="B2B"/>
    <n v="1206.72"/>
  </r>
  <r>
    <n v="2649"/>
    <s v="Melissa Flowers"/>
    <s v="Accessories"/>
    <s v="Sunglasses"/>
    <n v="3"/>
    <n v="3838.55"/>
    <n v="0.91"/>
    <x v="1"/>
    <n v="1036.4100000000001"/>
    <d v="2024-07-31T00:00:00"/>
    <x v="4"/>
    <s v="B2C"/>
    <n v="2380.44"/>
  </r>
  <r>
    <n v="2662"/>
    <s v="Joshua Warren"/>
    <s v="T-Shirts"/>
    <s v="Crop Top"/>
    <n v="1"/>
    <n v="2718.51"/>
    <n v="0"/>
    <x v="0"/>
    <n v="2718.51"/>
    <d v="2025-07-03T00:00:00"/>
    <x v="4"/>
    <s v="B2C"/>
    <n v="903.59"/>
  </r>
  <r>
    <n v="2663"/>
    <s v="Jeff Holland"/>
    <s v="Accessories"/>
    <s v="Sunglasses"/>
    <n v="2"/>
    <n v="2212.25"/>
    <n v="0.35"/>
    <x v="1"/>
    <n v="2875.93"/>
    <d v="2024-11-06T00:00:00"/>
    <x v="0"/>
    <s v="B2C"/>
    <n v="2992.12"/>
  </r>
  <r>
    <n v="2681"/>
    <s v="Jennifer Vargas"/>
    <s v="Jackets"/>
    <s v="Denim Jacket"/>
    <n v="1"/>
    <n v="4770.92"/>
    <n v="0"/>
    <x v="0"/>
    <n v="4770.92"/>
    <d v="2023-10-24T00:00:00"/>
    <x v="4"/>
    <s v="B2B"/>
    <n v="433.04"/>
  </r>
  <r>
    <n v="2689"/>
    <s v="Kendra James MD"/>
    <s v="Accessories"/>
    <s v="Caps"/>
    <n v="4"/>
    <n v="4777.51"/>
    <n v="0"/>
    <x v="0"/>
    <n v="19110.04"/>
    <d v="2024-11-13T00:00:00"/>
    <x v="3"/>
    <s v="OTHERS"/>
    <n v="-204.04"/>
  </r>
  <r>
    <n v="2701"/>
    <s v="Crystal Campbell"/>
    <s v="Accessories"/>
    <s v="Watches"/>
    <n v="1"/>
    <n v="2085.92"/>
    <n v="0"/>
    <x v="0"/>
    <n v="2085.92"/>
    <d v="2025-01-12T00:00:00"/>
    <x v="1"/>
    <s v="B2C"/>
    <n v="1301.3699999999999"/>
  </r>
  <r>
    <n v="2708"/>
    <s v="Benjamin Hicks"/>
    <s v="Accessories"/>
    <s v="Belts"/>
    <n v="4"/>
    <n v="4882.6899999999996"/>
    <n v="0"/>
    <x v="0"/>
    <n v="19530.759999999998"/>
    <d v="2024-12-30T00:00:00"/>
    <x v="0"/>
    <s v="B2B"/>
    <n v="2658.6"/>
  </r>
  <r>
    <n v="2718"/>
    <s v="Lawrence Turner"/>
    <s v="Jeans"/>
    <s v="Slim Fit Jeans"/>
    <n v="3"/>
    <n v="909.31"/>
    <n v="0"/>
    <x v="0"/>
    <n v="2727.93"/>
    <d v="2025-04-05T00:00:00"/>
    <x v="4"/>
    <s v="OTHERS"/>
    <n v="1389.16"/>
  </r>
  <r>
    <n v="2731"/>
    <s v="David Hawkins"/>
    <s v="Jackets"/>
    <s v="Puffer Coat"/>
    <n v="1"/>
    <n v="1635.12"/>
    <n v="0"/>
    <x v="0"/>
    <n v="1635.12"/>
    <d v="2025-07-16T00:00:00"/>
    <x v="0"/>
    <s v="B2B"/>
    <n v="-526.88"/>
  </r>
  <r>
    <n v="2739"/>
    <s v="Brianna Little"/>
    <s v="Shoes"/>
    <s v="Boots"/>
    <n v="4"/>
    <n v="4316.8500000000004"/>
    <n v="0"/>
    <x v="0"/>
    <n v="17267.400000000001"/>
    <d v="2023-12-08T00:00:00"/>
    <x v="2"/>
    <s v="OTHERS"/>
    <n v="2259.3000000000002"/>
  </r>
  <r>
    <n v="2745"/>
    <s v="Robert Gray"/>
    <s v="Jeans"/>
    <s v="Slim Fit Jeans"/>
    <n v="1"/>
    <n v="869.82"/>
    <n v="0"/>
    <x v="0"/>
    <n v="869.82"/>
    <d v="2024-07-24T00:00:00"/>
    <x v="1"/>
    <s v="B2C"/>
    <n v="737.77"/>
  </r>
  <r>
    <n v="2747"/>
    <s v="Rebekah Wolf"/>
    <s v="T-Shirts"/>
    <s v="Graphic Tee"/>
    <n v="1"/>
    <n v="1369.29"/>
    <n v="0"/>
    <x v="0"/>
    <n v="1369.29"/>
    <d v="2025-05-19T00:00:00"/>
    <x v="0"/>
    <s v="B2C"/>
    <n v="325.08"/>
  </r>
  <r>
    <n v="2748"/>
    <s v="Laura Hernandez"/>
    <s v="Accessories"/>
    <s v="Watches"/>
    <n v="4"/>
    <n v="3977.88"/>
    <n v="0"/>
    <x v="0"/>
    <n v="15911.52"/>
    <d v="2025-01-13T00:00:00"/>
    <x v="2"/>
    <s v="B2C"/>
    <n v="2431.13"/>
  </r>
  <r>
    <n v="2757"/>
    <s v="Stephanie Jensen"/>
    <s v="Accessories"/>
    <s v="Caps"/>
    <n v="3"/>
    <n v="4923.95"/>
    <n v="0"/>
    <x v="0"/>
    <n v="14771.85"/>
    <d v="2025-05-17T00:00:00"/>
    <x v="4"/>
    <s v="B2B"/>
    <n v="794.65"/>
  </r>
  <r>
    <n v="2788"/>
    <s v="Gerald Snow"/>
    <s v="Accessories"/>
    <s v="Sunglasses"/>
    <n v="1"/>
    <n v="3267.28"/>
    <n v="0"/>
    <x v="0"/>
    <n v="3267.28"/>
    <d v="2025-03-26T00:00:00"/>
    <x v="1"/>
    <s v="B2B"/>
    <n v="81.99"/>
  </r>
  <r>
    <n v="2790"/>
    <s v="Angela Miller"/>
    <s v="Jeans"/>
    <s v="Boyfriend Jeans"/>
    <n v="3"/>
    <n v="2675.27"/>
    <n v="0.41"/>
    <x v="1"/>
    <n v="4735.2299999999996"/>
    <d v="2024-11-09T00:00:00"/>
    <x v="5"/>
    <s v="B2B"/>
    <n v="1960.51"/>
  </r>
  <r>
    <n v="2793"/>
    <s v="Scott Kent"/>
    <s v="Accessories"/>
    <s v="Belts"/>
    <n v="2"/>
    <n v="4836.47"/>
    <n v="0"/>
    <x v="0"/>
    <n v="9672.94"/>
    <d v="2025-03-19T00:00:00"/>
    <x v="2"/>
    <s v="B2C"/>
    <n v="-608.29999999999995"/>
  </r>
  <r>
    <n v="2797"/>
    <s v="Kaylee Wilkins"/>
    <s v="Accessories"/>
    <s v="Belts"/>
    <n v="1"/>
    <n v="1257.81"/>
    <n v="0"/>
    <x v="0"/>
    <n v="1257.81"/>
    <d v="2025-05-19T00:00:00"/>
    <x v="2"/>
    <s v="B2C"/>
    <n v="2957.6"/>
  </r>
  <r>
    <n v="2803"/>
    <s v="Benjamin Boyd"/>
    <s v="T-Shirts"/>
    <s v="Crop Top"/>
    <n v="5"/>
    <n v="4418.75"/>
    <n v="0"/>
    <x v="0"/>
    <n v="22093.75"/>
    <d v="2023-08-13T00:00:00"/>
    <x v="1"/>
    <s v="OTHERS"/>
    <n v="693.65"/>
  </r>
  <r>
    <n v="2804"/>
    <s v="Julie Jones"/>
    <s v="Accessories"/>
    <s v="Sunglasses"/>
    <n v="6"/>
    <n v="4784"/>
    <n v="0"/>
    <x v="0"/>
    <n v="28704"/>
    <d v="2025-03-16T00:00:00"/>
    <x v="0"/>
    <s v="B2B"/>
    <n v="2969.42"/>
  </r>
  <r>
    <n v="2820"/>
    <s v="Stephanie Johnson"/>
    <s v="Accessories"/>
    <s v="Caps"/>
    <n v="1"/>
    <n v="2454.71"/>
    <n v="0.1"/>
    <x v="1"/>
    <n v="2209.2399999999998"/>
    <d v="2024-01-03T00:00:00"/>
    <x v="0"/>
    <s v="B2B"/>
    <n v="2850.37"/>
  </r>
  <r>
    <n v="2822"/>
    <s v="Matthew Bates"/>
    <s v="T-Shirts"/>
    <s v="Classic Tee"/>
    <n v="2"/>
    <n v="3864.37"/>
    <n v="0"/>
    <x v="0"/>
    <n v="7728.74"/>
    <d v="2025-03-09T00:00:00"/>
    <x v="1"/>
    <s v="OTHERS"/>
    <n v="957.65"/>
  </r>
  <r>
    <n v="2834"/>
    <s v="Patricia Mcbride"/>
    <s v="Jackets"/>
    <s v="Leather Jacket"/>
    <n v="2"/>
    <n v="3522.98"/>
    <n v="0"/>
    <x v="0"/>
    <n v="7045.96"/>
    <d v="2024-11-01T00:00:00"/>
    <x v="5"/>
    <s v="B2C"/>
    <n v="2242.67"/>
  </r>
  <r>
    <n v="2836"/>
    <s v="Timothy Brown"/>
    <s v="Dresses"/>
    <s v="Bodycon"/>
    <n v="4"/>
    <n v="4609.95"/>
    <n v="0"/>
    <x v="0"/>
    <n v="18439.8"/>
    <d v="2024-06-05T00:00:00"/>
    <x v="1"/>
    <s v="B2B"/>
    <n v="-154.75"/>
  </r>
  <r>
    <n v="2846"/>
    <s v="Cynthia Johnson"/>
    <s v="Shoes"/>
    <s v="Slip-ons"/>
    <n v="2"/>
    <n v="2525.04"/>
    <n v="0.3"/>
    <x v="1"/>
    <n v="3535.06"/>
    <d v="2024-09-25T00:00:00"/>
    <x v="3"/>
    <s v="OTHERS"/>
    <n v="1003.34"/>
  </r>
  <r>
    <n v="2858"/>
    <s v="Julie Anthony"/>
    <s v="Jeans"/>
    <s v="Boyfriend Jeans"/>
    <n v="1"/>
    <n v="3270.29"/>
    <n v="0"/>
    <x v="0"/>
    <n v="3270.29"/>
    <d v="2025-02-07T00:00:00"/>
    <x v="4"/>
    <s v="B2C"/>
    <n v="-539.25"/>
  </r>
  <r>
    <n v="2864"/>
    <s v="Felicia Saunders"/>
    <s v="Jackets"/>
    <s v="Leather Jacket"/>
    <n v="5"/>
    <n v="2535.29"/>
    <n v="0"/>
    <x v="0"/>
    <n v="12676.45"/>
    <d v="2024-07-27T00:00:00"/>
    <x v="1"/>
    <s v="OTHERS"/>
    <n v="-456.39"/>
  </r>
  <r>
    <n v="2868"/>
    <s v="Mallory Lee DVM"/>
    <s v="Accessories"/>
    <s v="Sunglasses"/>
    <n v="4"/>
    <n v="1392.21"/>
    <n v="0"/>
    <x v="0"/>
    <n v="5568.84"/>
    <d v="2024-11-15T00:00:00"/>
    <x v="1"/>
    <s v="B2B"/>
    <n v="758.3"/>
  </r>
  <r>
    <n v="2870"/>
    <s v="Erin Martin"/>
    <s v="Jeans"/>
    <s v="Ripped Denim"/>
    <n v="2"/>
    <n v="839.34"/>
    <n v="0"/>
    <x v="0"/>
    <n v="1678.68"/>
    <d v="2024-10-15T00:00:00"/>
    <x v="4"/>
    <s v="B2C"/>
    <n v="367.87"/>
  </r>
  <r>
    <n v="2873"/>
    <s v="Jennifer Leblanc"/>
    <s v="Shoes"/>
    <s v="Loafers"/>
    <n v="5"/>
    <n v="1354.14"/>
    <n v="0"/>
    <x v="0"/>
    <n v="6770.7"/>
    <d v="2025-03-24T00:00:00"/>
    <x v="2"/>
    <s v="B2B"/>
    <n v="2535.62"/>
  </r>
  <r>
    <n v="2876"/>
    <s v="Wesley Jackson"/>
    <s v="Jeans"/>
    <s v="Straight Cut"/>
    <n v="6"/>
    <n v="3824.82"/>
    <n v="0.82"/>
    <x v="1"/>
    <n v="4130.8100000000004"/>
    <d v="2024-08-02T00:00:00"/>
    <x v="1"/>
    <s v="B2C"/>
    <n v="688.53"/>
  </r>
  <r>
    <n v="2882"/>
    <s v="Laura Robertson"/>
    <s v="Accessories"/>
    <s v="Caps"/>
    <n v="3"/>
    <n v="583.53"/>
    <n v="0"/>
    <x v="0"/>
    <n v="1750.59"/>
    <d v="2025-02-13T00:00:00"/>
    <x v="0"/>
    <s v="OTHERS"/>
    <n v="2334.42"/>
  </r>
  <r>
    <n v="2885"/>
    <s v="Kevin Skinner"/>
    <s v="T-Shirts"/>
    <s v="Classic Tee"/>
    <n v="2"/>
    <n v="2666.48"/>
    <n v="0"/>
    <x v="0"/>
    <n v="5332.96"/>
    <d v="2025-04-29T00:00:00"/>
    <x v="4"/>
    <s v="B2B"/>
    <n v="-17.89"/>
  </r>
  <r>
    <n v="2890"/>
    <s v="Karen Houston"/>
    <s v="Dresses"/>
    <s v="Wrap Dress"/>
    <n v="1"/>
    <n v="2357.36"/>
    <n v="0"/>
    <x v="0"/>
    <n v="2357.36"/>
    <d v="2024-05-01T00:00:00"/>
    <x v="4"/>
    <s v="OTHERS"/>
    <n v="468.3"/>
  </r>
  <r>
    <n v="2897"/>
    <s v="Lisa James"/>
    <s v="Jackets"/>
    <s v="Denim Jacket"/>
    <n v="1"/>
    <n v="1194.44"/>
    <n v="0"/>
    <x v="0"/>
    <n v="1194.44"/>
    <d v="2025-06-16T00:00:00"/>
    <x v="5"/>
    <s v="B2B"/>
    <n v="1048.51"/>
  </r>
  <r>
    <n v="2899"/>
    <s v="Daniel Reyes"/>
    <s v="Accessories"/>
    <s v="Sunglasses"/>
    <n v="2"/>
    <n v="3086.59"/>
    <n v="0"/>
    <x v="0"/>
    <n v="6173.18"/>
    <d v="2025-01-26T00:00:00"/>
    <x v="5"/>
    <s v="B2C"/>
    <n v="-745.27"/>
  </r>
  <r>
    <n v="2901"/>
    <s v="Kaitlin Baldwin"/>
    <s v="Shoes"/>
    <s v="Sneakers"/>
    <n v="2"/>
    <n v="1817.71"/>
    <n v="0"/>
    <x v="0"/>
    <n v="3635.42"/>
    <d v="2025-04-28T00:00:00"/>
    <x v="0"/>
    <s v="B2C"/>
    <n v="391.06"/>
  </r>
  <r>
    <n v="2902"/>
    <s v="Andrew Brown"/>
    <s v="Jeans"/>
    <s v="Boyfriend Jeans"/>
    <n v="5"/>
    <n v="3153.37"/>
    <n v="0"/>
    <x v="0"/>
    <n v="15766.85"/>
    <d v="2024-09-28T00:00:00"/>
    <x v="1"/>
    <s v="OTHERS"/>
    <n v="-594.19000000000005"/>
  </r>
  <r>
    <n v="2904"/>
    <s v="David Walker"/>
    <s v="T-Shirts"/>
    <s v="Crop Top"/>
    <n v="5"/>
    <n v="1202.73"/>
    <n v="0"/>
    <x v="0"/>
    <n v="6013.65"/>
    <d v="2024-11-03T00:00:00"/>
    <x v="3"/>
    <s v="B2C"/>
    <n v="658.6"/>
  </r>
  <r>
    <n v="2919"/>
    <s v="Timothy Peterson"/>
    <s v="Jeans"/>
    <s v="Slim Fit Jeans"/>
    <n v="2"/>
    <n v="535.62"/>
    <n v="0"/>
    <x v="0"/>
    <n v="1071.24"/>
    <d v="2024-07-27T00:00:00"/>
    <x v="1"/>
    <s v="B2C"/>
    <n v="-637.47"/>
  </r>
  <r>
    <n v="2926"/>
    <s v="Zachary Robinson"/>
    <s v="Dresses"/>
    <s v="Wrap Dress"/>
    <n v="4"/>
    <n v="3263.06"/>
    <n v="0.16"/>
    <x v="1"/>
    <n v="10963.88"/>
    <d v="2024-11-15T00:00:00"/>
    <x v="0"/>
    <s v="OTHERS"/>
    <n v="2428.73"/>
  </r>
  <r>
    <n v="2944"/>
    <s v="John Blankenship"/>
    <s v="Dresses"/>
    <s v="Casual Midi"/>
    <n v="1"/>
    <n v="1313.35"/>
    <n v="0.2"/>
    <x v="1"/>
    <n v="1050.68"/>
    <d v="2025-03-06T00:00:00"/>
    <x v="3"/>
    <s v="B2C"/>
    <n v="-384.05"/>
  </r>
  <r>
    <n v="2948"/>
    <s v="Daniel Haney"/>
    <s v="Jeans"/>
    <s v="Slim Fit Jeans"/>
    <n v="5"/>
    <n v="2494.15"/>
    <n v="0"/>
    <x v="0"/>
    <n v="12470.75"/>
    <d v="2025-02-07T00:00:00"/>
    <x v="5"/>
    <s v="B2B"/>
    <n v="-901.7"/>
  </r>
  <r>
    <n v="2952"/>
    <s v="Jennifer Simpson"/>
    <s v="Shoes"/>
    <s v="Boots"/>
    <n v="2"/>
    <n v="470.68"/>
    <n v="0.06"/>
    <x v="1"/>
    <n v="884.88"/>
    <d v="2024-11-19T00:00:00"/>
    <x v="2"/>
    <s v="B2B"/>
    <n v="2812.7"/>
  </r>
  <r>
    <n v="2971"/>
    <s v="Danielle Archer"/>
    <s v="Dresses"/>
    <s v="Bodycon"/>
    <n v="6"/>
    <n v="1507.6"/>
    <n v="0"/>
    <x v="0"/>
    <n v="9045.6"/>
    <d v="2025-02-11T00:00:00"/>
    <x v="5"/>
    <s v="B2C"/>
    <n v="2280.06"/>
  </r>
  <r>
    <n v="2974"/>
    <s v="Amy Miller"/>
    <s v="Accessories"/>
    <s v="Watches"/>
    <n v="6"/>
    <n v="1765.76"/>
    <n v="0.36"/>
    <x v="1"/>
    <n v="6780.52"/>
    <d v="2025-05-21T00:00:00"/>
    <x v="2"/>
    <s v="B2B"/>
    <n v="2947"/>
  </r>
  <r>
    <n v="2982"/>
    <s v="Bailey Keller"/>
    <s v="T-Shirts"/>
    <s v="Oversized T-shirt"/>
    <n v="1"/>
    <n v="2497.52"/>
    <n v="0"/>
    <x v="0"/>
    <n v="2497.52"/>
    <d v="2023-11-23T00:00:00"/>
    <x v="2"/>
    <s v="OTHERS"/>
    <n v="-523.42999999999995"/>
  </r>
  <r>
    <n v="2984"/>
    <s v="Alexander Gonzalez"/>
    <s v="Shoes"/>
    <s v="Loafers"/>
    <n v="4"/>
    <n v="2062.9"/>
    <n v="0"/>
    <x v="0"/>
    <n v="8251.6"/>
    <d v="2024-08-02T00:00:00"/>
    <x v="0"/>
    <s v="B2C"/>
    <n v="2471.06"/>
  </r>
  <r>
    <n v="2989"/>
    <s v="Paige Mosley"/>
    <s v="Shoes"/>
    <s v="Boots"/>
    <n v="1"/>
    <n v="4084.97"/>
    <n v="0.83"/>
    <x v="1"/>
    <n v="694.44"/>
    <d v="2024-01-29T00:00:00"/>
    <x v="0"/>
    <s v="B2B"/>
    <n v="2395.4299999999998"/>
  </r>
  <r>
    <n v="3001"/>
    <s v="Amanda Mclaughlin"/>
    <s v="Jackets"/>
    <s v="Denim Jacket"/>
    <n v="1"/>
    <n v="1171.57"/>
    <n v="0"/>
    <x v="0"/>
    <n v="1171.57"/>
    <d v="2024-11-05T00:00:00"/>
    <x v="4"/>
    <s v="OTHERS"/>
    <n v="2541.21"/>
  </r>
  <r>
    <n v="3004"/>
    <s v="Laurie Martinez"/>
    <s v="T-Shirts"/>
    <s v="Crop Top"/>
    <n v="3"/>
    <n v="1759.66"/>
    <n v="0"/>
    <x v="0"/>
    <n v="5278.98"/>
    <d v="2025-04-04T00:00:00"/>
    <x v="0"/>
    <s v="OTHERS"/>
    <n v="1133.07"/>
  </r>
  <r>
    <n v="3007"/>
    <s v="Misty Higgins"/>
    <s v="Shoes"/>
    <s v="Loafers"/>
    <n v="2"/>
    <n v="3922.01"/>
    <n v="0"/>
    <x v="0"/>
    <n v="7844.02"/>
    <d v="2025-03-10T00:00:00"/>
    <x v="1"/>
    <s v="B2B"/>
    <n v="2186.58"/>
  </r>
  <r>
    <n v="3022"/>
    <s v="Jennifer Hancock"/>
    <s v="Accessories"/>
    <s v="Belts"/>
    <n v="3"/>
    <n v="1695.61"/>
    <n v="0"/>
    <x v="0"/>
    <n v="5086.83"/>
    <d v="2024-08-08T00:00:00"/>
    <x v="5"/>
    <s v="B2C"/>
    <n v="297.83"/>
  </r>
  <r>
    <n v="3052"/>
    <s v="Nathaniel Martin Jr."/>
    <s v="Accessories"/>
    <s v="Belts"/>
    <n v="1"/>
    <n v="1290.42"/>
    <n v="0"/>
    <x v="0"/>
    <n v="1290.42"/>
    <d v="2024-04-21T00:00:00"/>
    <x v="2"/>
    <s v="B2B"/>
    <n v="-196.63"/>
  </r>
  <r>
    <n v="3059"/>
    <s v="Douglas Cummings"/>
    <s v="T-Shirts"/>
    <s v="Crop Top"/>
    <n v="2"/>
    <n v="4949.17"/>
    <n v="0"/>
    <x v="0"/>
    <n v="9898.34"/>
    <d v="2025-05-08T00:00:00"/>
    <x v="1"/>
    <s v="B2B"/>
    <n v="1267.49"/>
  </r>
  <r>
    <n v="3061"/>
    <s v="Melissa Mcdonald"/>
    <s v="T-Shirts"/>
    <s v="Crop Top"/>
    <n v="1"/>
    <n v="1873.39"/>
    <n v="0.74"/>
    <x v="1"/>
    <n v="487.08"/>
    <d v="2024-12-20T00:00:00"/>
    <x v="3"/>
    <s v="B2B"/>
    <n v="1596.53"/>
  </r>
  <r>
    <n v="3065"/>
    <s v="Kyle Salinas"/>
    <s v="T-Shirts"/>
    <s v="Crop Top"/>
    <n v="1"/>
    <n v="873.64"/>
    <n v="0.17"/>
    <x v="1"/>
    <n v="725.12"/>
    <d v="2025-03-20T00:00:00"/>
    <x v="4"/>
    <s v="OTHERS"/>
    <n v="1107.8499999999999"/>
  </r>
  <r>
    <n v="3089"/>
    <s v="Frank Griffin"/>
    <s v="Accessories"/>
    <s v="Belts"/>
    <n v="2"/>
    <n v="3153.72"/>
    <n v="0"/>
    <x v="0"/>
    <n v="6307.44"/>
    <d v="2025-02-04T00:00:00"/>
    <x v="3"/>
    <s v="B2B"/>
    <n v="2686.96"/>
  </r>
  <r>
    <n v="3090"/>
    <s v="Kenneth Griffith"/>
    <s v="Dresses"/>
    <s v="Wrap Dress"/>
    <n v="2"/>
    <n v="3033.2"/>
    <n v="0"/>
    <x v="0"/>
    <n v="6066.4"/>
    <d v="2024-09-02T00:00:00"/>
    <x v="4"/>
    <s v="B2B"/>
    <n v="490.69"/>
  </r>
  <r>
    <n v="3093"/>
    <s v="Randy Burke"/>
    <s v="Shoes"/>
    <s v="Boots"/>
    <n v="2"/>
    <n v="1551.41"/>
    <n v="0.54"/>
    <x v="1"/>
    <n v="1427.3"/>
    <d v="2024-12-20T00:00:00"/>
    <x v="5"/>
    <s v="B2C"/>
    <n v="763.37"/>
  </r>
  <r>
    <n v="3096"/>
    <s v="Charles Francis"/>
    <s v="Shoes"/>
    <s v="Boots"/>
    <n v="2"/>
    <n v="2312.09"/>
    <n v="0"/>
    <x v="0"/>
    <n v="4624.18"/>
    <d v="2025-06-13T00:00:00"/>
    <x v="1"/>
    <s v="OTHERS"/>
    <n v="508.96"/>
  </r>
  <r>
    <n v="3113"/>
    <s v="Veronica Goodwin"/>
    <s v="Shoes"/>
    <s v="Loafers"/>
    <n v="4"/>
    <n v="3256.86"/>
    <n v="0.77"/>
    <x v="1"/>
    <n v="2996.31"/>
    <d v="2024-09-13T00:00:00"/>
    <x v="1"/>
    <s v="B2B"/>
    <n v="-109.08"/>
  </r>
  <r>
    <n v="3125"/>
    <s v="Stephanie Cook"/>
    <s v="Dresses"/>
    <s v="Casual Midi"/>
    <n v="5"/>
    <n v="4264.79"/>
    <n v="0"/>
    <x v="0"/>
    <n v="21323.95"/>
    <d v="2024-10-03T00:00:00"/>
    <x v="2"/>
    <s v="B2C"/>
    <n v="2388.91"/>
  </r>
  <r>
    <n v="3133"/>
    <s v="Catherine Spencer"/>
    <s v="Jackets"/>
    <s v="Denim Jacket"/>
    <n v="1"/>
    <n v="974.54"/>
    <n v="0.44"/>
    <x v="1"/>
    <n v="545.74"/>
    <d v="2024-10-05T00:00:00"/>
    <x v="3"/>
    <s v="B2B"/>
    <n v="2655.22"/>
  </r>
  <r>
    <n v="3142"/>
    <s v="Dale Davis"/>
    <s v="Dresses"/>
    <s v="Bodycon"/>
    <n v="1"/>
    <n v="4887.3599999999997"/>
    <n v="0"/>
    <x v="0"/>
    <n v="4887.3599999999997"/>
    <d v="2024-10-29T00:00:00"/>
    <x v="3"/>
    <s v="B2B"/>
    <n v="-243.32"/>
  </r>
  <r>
    <n v="3152"/>
    <s v="Brianna Patel"/>
    <s v="T-Shirts"/>
    <s v="Graphic Tee"/>
    <n v="2"/>
    <n v="2116.65"/>
    <n v="0.21"/>
    <x v="1"/>
    <n v="3344.31"/>
    <d v="2024-09-28T00:00:00"/>
    <x v="0"/>
    <s v="OTHERS"/>
    <n v="385.42"/>
  </r>
  <r>
    <n v="1047"/>
    <s v="Wendy Sandoval"/>
    <s v="T-Shirts"/>
    <s v="Oversized T-shirt"/>
    <n v="1"/>
    <n v="3154.48"/>
    <n v="0"/>
    <x v="0"/>
    <n v="3154.48"/>
    <d v="2024-07-28T00:00:00"/>
    <x v="2"/>
    <s v="B2C"/>
    <n v="-243.92"/>
  </r>
  <r>
    <n v="3157"/>
    <s v="Matthew Bryant"/>
    <s v="Accessories"/>
    <s v="Caps"/>
    <n v="6"/>
    <n v="1768.88"/>
    <n v="0"/>
    <x v="0"/>
    <n v="10613.28"/>
    <d v="2024-01-19T00:00:00"/>
    <x v="4"/>
    <s v="B2B"/>
    <n v="-750.14"/>
  </r>
  <r>
    <n v="3160"/>
    <s v="Denise Ashley"/>
    <s v="Jeans"/>
    <s v="Ripped Denim"/>
    <n v="6"/>
    <n v="4976.8100000000004"/>
    <n v="0"/>
    <x v="0"/>
    <n v="29860.86"/>
    <d v="2025-05-17T00:00:00"/>
    <x v="2"/>
    <s v="B2C"/>
    <n v="845.06"/>
  </r>
  <r>
    <n v="3168"/>
    <s v="Christine Young"/>
    <s v="Jeans"/>
    <s v="Ripped Denim"/>
    <n v="1"/>
    <n v="1845.75"/>
    <n v="0"/>
    <x v="0"/>
    <n v="1845.75"/>
    <d v="2025-06-06T00:00:00"/>
    <x v="1"/>
    <s v="B2B"/>
    <n v="268.45"/>
  </r>
  <r>
    <n v="3172"/>
    <s v="Robert Rogers"/>
    <s v="Shoes"/>
    <s v="Sneakers"/>
    <n v="3"/>
    <n v="4433.3500000000004"/>
    <n v="0"/>
    <x v="0"/>
    <n v="13300.05"/>
    <d v="2024-11-28T00:00:00"/>
    <x v="4"/>
    <s v="OTHERS"/>
    <n v="329.75"/>
  </r>
  <r>
    <n v="3175"/>
    <s v="Brittany Brown"/>
    <s v="Jeans"/>
    <s v="Straight Cut"/>
    <n v="3"/>
    <n v="2937.09"/>
    <n v="0"/>
    <x v="0"/>
    <n v="8811.27"/>
    <d v="2024-03-27T00:00:00"/>
    <x v="4"/>
    <s v="B2C"/>
    <n v="2471.63"/>
  </r>
  <r>
    <n v="3179"/>
    <s v="Christopher Martin"/>
    <s v="Jackets"/>
    <s v="Puffer Coat"/>
    <n v="1"/>
    <n v="2057.88"/>
    <n v="0"/>
    <x v="0"/>
    <n v="2057.88"/>
    <d v="2024-10-23T00:00:00"/>
    <x v="2"/>
    <s v="B2C"/>
    <n v="932.33"/>
  </r>
  <r>
    <n v="3180"/>
    <s v="Elizabeth Deleon"/>
    <s v="Shoes"/>
    <s v="Boots"/>
    <n v="5"/>
    <n v="1981.32"/>
    <n v="0"/>
    <x v="0"/>
    <n v="9906.6"/>
    <d v="2024-08-15T00:00:00"/>
    <x v="1"/>
    <s v="OTHERS"/>
    <n v="1113.19"/>
  </r>
  <r>
    <n v="3187"/>
    <s v="Karen Clayton"/>
    <s v="Dresses"/>
    <s v="Maxi Dress"/>
    <n v="6"/>
    <n v="3998.97"/>
    <n v="0"/>
    <x v="0"/>
    <n v="23993.82"/>
    <d v="2024-01-30T00:00:00"/>
    <x v="0"/>
    <s v="B2C"/>
    <n v="716.49"/>
  </r>
  <r>
    <n v="3192"/>
    <s v="Brittany Sweeney"/>
    <s v="Jeans"/>
    <s v="Straight Cut"/>
    <n v="2"/>
    <n v="3568.45"/>
    <n v="0.37"/>
    <x v="1"/>
    <n v="4496.25"/>
    <d v="2023-07-29T00:00:00"/>
    <x v="5"/>
    <s v="B2C"/>
    <n v="1683.74"/>
  </r>
  <r>
    <n v="3208"/>
    <s v="Melissa Davila"/>
    <s v="Accessories"/>
    <s v="Watches"/>
    <n v="4"/>
    <n v="4280.7"/>
    <n v="0"/>
    <x v="0"/>
    <n v="17122.8"/>
    <d v="2024-09-19T00:00:00"/>
    <x v="4"/>
    <s v="B2B"/>
    <n v="68.36"/>
  </r>
  <r>
    <n v="3224"/>
    <s v="Elizabeth Smith"/>
    <s v="Jeans"/>
    <s v="Slim Fit Jeans"/>
    <n v="6"/>
    <n v="878.95"/>
    <n v="0.01"/>
    <x v="1"/>
    <n v="5220.96"/>
    <d v="2025-04-22T00:00:00"/>
    <x v="0"/>
    <s v="OTHERS"/>
    <n v="2099.52"/>
  </r>
  <r>
    <n v="3239"/>
    <s v="Mariah Kidd"/>
    <s v="Jeans"/>
    <s v="Straight Cut"/>
    <n v="1"/>
    <n v="4585.71"/>
    <n v="0"/>
    <x v="0"/>
    <n v="4585.71"/>
    <d v="2025-05-18T00:00:00"/>
    <x v="2"/>
    <s v="B2B"/>
    <n v="1277.56"/>
  </r>
  <r>
    <n v="3253"/>
    <s v="Anita Ramirez"/>
    <s v="Jackets"/>
    <s v="Bomber Jacket"/>
    <n v="5"/>
    <n v="4429.95"/>
    <n v="0.35"/>
    <x v="1"/>
    <n v="14397.34"/>
    <d v="2025-03-11T00:00:00"/>
    <x v="3"/>
    <s v="OTHERS"/>
    <n v="-746.94"/>
  </r>
  <r>
    <n v="3255"/>
    <s v="George Gonzales"/>
    <s v="Accessories"/>
    <s v="Watches"/>
    <n v="6"/>
    <n v="3904.86"/>
    <n v="0"/>
    <x v="0"/>
    <n v="23429.16"/>
    <d v="2024-12-04T00:00:00"/>
    <x v="0"/>
    <s v="B2C"/>
    <n v="1504.25"/>
  </r>
  <r>
    <n v="1024"/>
    <s v="William Johnson"/>
    <s v="Accessories"/>
    <s v="Watches"/>
    <n v="2"/>
    <n v="940.64"/>
    <n v="0.67"/>
    <x v="1"/>
    <n v="620.82000000000005"/>
    <d v="2025-01-10T00:00:00"/>
    <x v="0"/>
    <s v="B2C"/>
    <n v="1552.9"/>
  </r>
  <r>
    <n v="3263"/>
    <s v="Tammy Hatfield"/>
    <s v="Shoes"/>
    <s v="Sneakers"/>
    <n v="6"/>
    <n v="3121.49"/>
    <n v="0"/>
    <x v="0"/>
    <n v="18728.939999999999"/>
    <d v="2025-01-21T00:00:00"/>
    <x v="1"/>
    <s v="B2B"/>
    <n v="1156.27"/>
  </r>
  <r>
    <n v="3265"/>
    <s v="Sandra Patrick"/>
    <s v="Jackets"/>
    <s v="Leather Jacket"/>
    <n v="1"/>
    <n v="1882.93"/>
    <n v="0"/>
    <x v="0"/>
    <n v="1882.93"/>
    <d v="2025-06-27T00:00:00"/>
    <x v="1"/>
    <s v="B2B"/>
    <n v="520.85"/>
  </r>
  <r>
    <n v="3267"/>
    <s v="Cathy Zamora"/>
    <s v="Dresses"/>
    <s v="Maxi Dress"/>
    <n v="1"/>
    <n v="3965.8"/>
    <n v="0.48"/>
    <x v="1"/>
    <n v="2062.2199999999998"/>
    <d v="2024-10-22T00:00:00"/>
    <x v="1"/>
    <s v="B2B"/>
    <n v="1222.8499999999999"/>
  </r>
  <r>
    <n v="3272"/>
    <s v="Christopher Davis"/>
    <s v="Shoes"/>
    <s v="Boots"/>
    <n v="3"/>
    <n v="4236.45"/>
    <n v="0"/>
    <x v="0"/>
    <n v="12709.35"/>
    <d v="2024-08-27T00:00:00"/>
    <x v="0"/>
    <s v="B2C"/>
    <n v="-849.83"/>
  </r>
  <r>
    <n v="3274"/>
    <s v="Nathan Maynard"/>
    <s v="Dresses"/>
    <s v="Casual Midi"/>
    <n v="2"/>
    <n v="4409.22"/>
    <n v="0"/>
    <x v="0"/>
    <n v="8818.44"/>
    <d v="2024-08-30T00:00:00"/>
    <x v="5"/>
    <s v="B2C"/>
    <n v="2886.62"/>
  </r>
  <r>
    <n v="3282"/>
    <s v="Nicholas Cox"/>
    <s v="Jeans"/>
    <s v="Ripped Denim"/>
    <n v="2"/>
    <n v="4405.96"/>
    <n v="0.28000000000000003"/>
    <x v="1"/>
    <n v="6344.58"/>
    <d v="2024-08-24T00:00:00"/>
    <x v="1"/>
    <s v="B2B"/>
    <n v="503.27"/>
  </r>
  <r>
    <n v="3294"/>
    <s v="Gregory Mitchell"/>
    <s v="T-Shirts"/>
    <s v="Oversized T-shirt"/>
    <n v="4"/>
    <n v="1316.9"/>
    <n v="0.11"/>
    <x v="1"/>
    <n v="4688.16"/>
    <d v="2024-09-15T00:00:00"/>
    <x v="5"/>
    <s v="B2C"/>
    <n v="2743.65"/>
  </r>
  <r>
    <n v="3298"/>
    <s v="Christopher Gordon"/>
    <s v="Accessories"/>
    <s v="Belts"/>
    <n v="1"/>
    <n v="2124.13"/>
    <n v="0.85"/>
    <x v="1"/>
    <n v="318.62"/>
    <d v="2024-08-03T00:00:00"/>
    <x v="3"/>
    <s v="OTHERS"/>
    <n v="1126.81"/>
  </r>
  <r>
    <n v="3299"/>
    <s v="Kristen Alexander"/>
    <s v="Jackets"/>
    <s v="Leather Jacket"/>
    <n v="1"/>
    <n v="4090.34"/>
    <n v="0.99"/>
    <x v="1"/>
    <n v="40.9"/>
    <d v="2025-06-01T00:00:00"/>
    <x v="0"/>
    <s v="B2B"/>
    <n v="1676.64"/>
  </r>
  <r>
    <n v="3301"/>
    <s v="Holly Lopez"/>
    <s v="T-Shirts"/>
    <s v="Graphic Tee"/>
    <n v="5"/>
    <n v="2590.44"/>
    <n v="0"/>
    <x v="0"/>
    <n v="12952.2"/>
    <d v="2024-08-10T00:00:00"/>
    <x v="3"/>
    <s v="OTHERS"/>
    <n v="-613.96"/>
  </r>
  <r>
    <n v="3309"/>
    <s v="Katrina Pugh"/>
    <s v="Dresses"/>
    <s v="Casual Midi"/>
    <n v="2"/>
    <n v="3944.46"/>
    <n v="0"/>
    <x v="0"/>
    <n v="7888.92"/>
    <d v="2023-10-02T00:00:00"/>
    <x v="2"/>
    <s v="B2C"/>
    <n v="1392.37"/>
  </r>
  <r>
    <n v="3311"/>
    <s v="Amanda Dixon"/>
    <s v="Dresses"/>
    <s v="Maxi Dress"/>
    <n v="1"/>
    <n v="3108.69"/>
    <n v="0"/>
    <x v="0"/>
    <n v="3108.69"/>
    <d v="2024-04-06T00:00:00"/>
    <x v="5"/>
    <s v="OTHERS"/>
    <n v="2986.53"/>
  </r>
  <r>
    <n v="3312"/>
    <s v="Sarah Bradley DDS"/>
    <s v="T-Shirts"/>
    <s v="Classic Tee"/>
    <n v="2"/>
    <n v="4878.8100000000004"/>
    <n v="0"/>
    <x v="0"/>
    <n v="9757.6200000000008"/>
    <d v="2024-09-02T00:00:00"/>
    <x v="1"/>
    <s v="OTHERS"/>
    <n v="327.38"/>
  </r>
  <r>
    <n v="3321"/>
    <s v="Hector Morris"/>
    <s v="Jackets"/>
    <s v="Bomber Jacket"/>
    <n v="5"/>
    <n v="1804.56"/>
    <n v="0"/>
    <x v="0"/>
    <n v="9022.7999999999993"/>
    <d v="2023-11-24T00:00:00"/>
    <x v="3"/>
    <s v="OTHERS"/>
    <n v="2534.37"/>
  </r>
  <r>
    <n v="3326"/>
    <s v="Shawn Campbell"/>
    <s v="Shoes"/>
    <s v="Boots"/>
    <n v="2"/>
    <n v="3047.68"/>
    <n v="0"/>
    <x v="0"/>
    <n v="6095.36"/>
    <d v="2024-08-22T00:00:00"/>
    <x v="1"/>
    <s v="B2C"/>
    <n v="827.95"/>
  </r>
  <r>
    <n v="3328"/>
    <s v="Scott Hernandez"/>
    <s v="Jeans"/>
    <s v="Boyfriend Jeans"/>
    <n v="1"/>
    <n v="4390.32"/>
    <n v="0"/>
    <x v="0"/>
    <n v="4390.32"/>
    <d v="2025-03-17T00:00:00"/>
    <x v="1"/>
    <s v="OTHERS"/>
    <n v="2785.75"/>
  </r>
  <r>
    <n v="3330"/>
    <s v="Adrian Cross"/>
    <s v="Shoes"/>
    <s v="Loafers"/>
    <n v="6"/>
    <n v="2217.9499999999998"/>
    <n v="0"/>
    <x v="0"/>
    <n v="13307.7"/>
    <d v="2025-06-18T00:00:00"/>
    <x v="3"/>
    <s v="OTHERS"/>
    <n v="146.52000000000001"/>
  </r>
  <r>
    <n v="1018"/>
    <s v="Thomas Cole"/>
    <s v="Dresses"/>
    <s v="Maxi Dress"/>
    <n v="1"/>
    <n v="2847.86"/>
    <n v="0.7"/>
    <x v="1"/>
    <n v="854.36"/>
    <d v="2024-03-09T00:00:00"/>
    <x v="5"/>
    <s v="B2C"/>
    <n v="2190.67"/>
  </r>
  <r>
    <n v="3340"/>
    <s v="Christopher Stone"/>
    <s v="Shoes"/>
    <s v="Sneakers"/>
    <n v="6"/>
    <n v="3924.28"/>
    <n v="0.15"/>
    <x v="1"/>
    <n v="20013.830000000002"/>
    <d v="2024-08-28T00:00:00"/>
    <x v="1"/>
    <s v="OTHERS"/>
    <n v="-831.93"/>
  </r>
  <r>
    <n v="3346"/>
    <s v="Calvin Wright"/>
    <s v="Shoes"/>
    <s v="Sneakers"/>
    <n v="2"/>
    <n v="1266.23"/>
    <n v="0.81"/>
    <x v="1"/>
    <n v="481.17"/>
    <d v="2024-12-25T00:00:00"/>
    <x v="2"/>
    <s v="B2B"/>
    <n v="416.5"/>
  </r>
  <r>
    <n v="3356"/>
    <s v="Jill Singh"/>
    <s v="Shoes"/>
    <s v="Slip-ons"/>
    <n v="1"/>
    <n v="966.41"/>
    <n v="0"/>
    <x v="0"/>
    <n v="966.41"/>
    <d v="2024-07-26T00:00:00"/>
    <x v="1"/>
    <s v="B2C"/>
    <n v="924.69"/>
  </r>
  <r>
    <n v="3366"/>
    <s v="Mary Smith"/>
    <s v="Jackets"/>
    <s v="Leather Jacket"/>
    <n v="5"/>
    <n v="636.53"/>
    <n v="0"/>
    <x v="0"/>
    <n v="3182.65"/>
    <d v="2025-04-01T00:00:00"/>
    <x v="0"/>
    <s v="B2B"/>
    <n v="-513.44000000000005"/>
  </r>
  <r>
    <n v="3380"/>
    <s v="Crystal Beasley"/>
    <s v="Dresses"/>
    <s v="Bodycon"/>
    <n v="2"/>
    <n v="4166.34"/>
    <n v="0"/>
    <x v="0"/>
    <n v="8332.68"/>
    <d v="2024-10-14T00:00:00"/>
    <x v="3"/>
    <s v="B2B"/>
    <n v="317.31"/>
  </r>
  <r>
    <n v="3384"/>
    <s v="Justin Melton"/>
    <s v="Dresses"/>
    <s v="Wrap Dress"/>
    <n v="1"/>
    <n v="2282.7600000000002"/>
    <n v="0.57999999999999996"/>
    <x v="1"/>
    <n v="958.76"/>
    <d v="2024-11-04T00:00:00"/>
    <x v="1"/>
    <s v="OTHERS"/>
    <n v="1133.68"/>
  </r>
  <r>
    <n v="3396"/>
    <s v="Connor Meza"/>
    <s v="Jackets"/>
    <s v="Leather Jacket"/>
    <n v="2"/>
    <n v="3760.09"/>
    <n v="0"/>
    <x v="0"/>
    <n v="7520.18"/>
    <d v="2024-12-12T00:00:00"/>
    <x v="3"/>
    <s v="OTHERS"/>
    <n v="-871.94"/>
  </r>
  <r>
    <n v="3399"/>
    <s v="Mary Johnson"/>
    <s v="Jeans"/>
    <s v="Ripped Denim"/>
    <n v="5"/>
    <n v="3111.73"/>
    <n v="0"/>
    <x v="0"/>
    <n v="15558.65"/>
    <d v="2024-07-11T00:00:00"/>
    <x v="1"/>
    <s v="B2C"/>
    <n v="800.89"/>
  </r>
  <r>
    <n v="3424"/>
    <s v="Ryan Barker"/>
    <s v="Accessories"/>
    <s v="Watches"/>
    <n v="5"/>
    <n v="4754.22"/>
    <n v="0.82"/>
    <x v="1"/>
    <n v="4278.8"/>
    <d v="2025-05-17T00:00:00"/>
    <x v="3"/>
    <s v="B2B"/>
    <n v="2415.19"/>
  </r>
  <r>
    <n v="3425"/>
    <s v="Logan Phillips"/>
    <s v="Jackets"/>
    <s v="Denim Jacket"/>
    <n v="2"/>
    <n v="2942.33"/>
    <n v="0.16"/>
    <x v="1"/>
    <n v="4943.1099999999997"/>
    <d v="2024-02-19T00:00:00"/>
    <x v="4"/>
    <s v="OTHERS"/>
    <n v="977.57"/>
  </r>
  <r>
    <n v="3434"/>
    <s v="Sean Hensley"/>
    <s v="Shoes"/>
    <s v="Loafers"/>
    <n v="1"/>
    <n v="636.91999999999996"/>
    <n v="0.51"/>
    <x v="1"/>
    <n v="312.08999999999997"/>
    <d v="2025-03-08T00:00:00"/>
    <x v="4"/>
    <s v="B2B"/>
    <n v="2399.61"/>
  </r>
  <r>
    <n v="3439"/>
    <s v="Jeremiah Reese"/>
    <s v="Shoes"/>
    <s v="Slip-ons"/>
    <n v="2"/>
    <n v="400.21"/>
    <n v="0"/>
    <x v="0"/>
    <n v="800.42"/>
    <d v="2025-06-23T00:00:00"/>
    <x v="1"/>
    <s v="B2C"/>
    <n v="914.27"/>
  </r>
  <r>
    <n v="3445"/>
    <s v="Richard Gutierrez"/>
    <s v="Accessories"/>
    <s v="Caps"/>
    <n v="4"/>
    <n v="973.52"/>
    <n v="0"/>
    <x v="0"/>
    <n v="3894.08"/>
    <d v="2024-08-10T00:00:00"/>
    <x v="3"/>
    <s v="OTHERS"/>
    <n v="2406.66"/>
  </r>
  <r>
    <n v="3446"/>
    <s v="Christopher Phillips"/>
    <s v="T-Shirts"/>
    <s v="Crop Top"/>
    <n v="3"/>
    <n v="4758.24"/>
    <n v="0.49"/>
    <x v="1"/>
    <n v="7280.11"/>
    <d v="2025-03-17T00:00:00"/>
    <x v="0"/>
    <s v="OTHERS"/>
    <n v="2863.66"/>
  </r>
  <r>
    <n v="3447"/>
    <s v="Charles Kelly"/>
    <s v="Jackets"/>
    <s v="Puffer Coat"/>
    <n v="4"/>
    <n v="4762.62"/>
    <n v="0"/>
    <x v="0"/>
    <n v="19050.48"/>
    <d v="2025-07-02T00:00:00"/>
    <x v="3"/>
    <s v="B2B"/>
    <n v="1483.83"/>
  </r>
  <r>
    <n v="3449"/>
    <s v="Carrie Mclaughlin"/>
    <s v="Dresses"/>
    <s v="Casual Midi"/>
    <n v="4"/>
    <n v="803.79"/>
    <n v="0"/>
    <x v="0"/>
    <n v="3215.16"/>
    <d v="2025-07-16T00:00:00"/>
    <x v="4"/>
    <s v="B2C"/>
    <n v="2948.6"/>
  </r>
  <r>
    <n v="3451"/>
    <s v="Roger Blake"/>
    <s v="T-Shirts"/>
    <s v="Graphic Tee"/>
    <n v="2"/>
    <n v="2339.36"/>
    <n v="0.35"/>
    <x v="1"/>
    <n v="3041.17"/>
    <d v="2025-06-19T00:00:00"/>
    <x v="1"/>
    <s v="B2B"/>
    <n v="-5.05"/>
  </r>
  <r>
    <n v="3454"/>
    <s v="Amanda Rich"/>
    <s v="Accessories"/>
    <s v="Watches"/>
    <n v="6"/>
    <n v="1987.62"/>
    <n v="0"/>
    <x v="0"/>
    <n v="11925.72"/>
    <d v="2024-08-31T00:00:00"/>
    <x v="3"/>
    <s v="B2B"/>
    <n v="1184.77"/>
  </r>
  <r>
    <n v="3487"/>
    <s v="Kathryn Swanson"/>
    <s v="T-Shirts"/>
    <s v="Crop Top"/>
    <n v="5"/>
    <n v="1683.74"/>
    <n v="0.57999999999999996"/>
    <x v="1"/>
    <n v="3535.85"/>
    <d v="2025-01-13T00:00:00"/>
    <x v="1"/>
    <s v="B2C"/>
    <n v="419.44"/>
  </r>
  <r>
    <n v="3493"/>
    <s v="Keith Manning"/>
    <s v="Dresses"/>
    <s v="Casual Midi"/>
    <n v="5"/>
    <n v="2935.56"/>
    <n v="0"/>
    <x v="0"/>
    <n v="14677.8"/>
    <d v="2025-01-21T00:00:00"/>
    <x v="5"/>
    <s v="OTHERS"/>
    <n v="-410.86"/>
  </r>
  <r>
    <n v="3498"/>
    <s v="Angela Adkins"/>
    <s v="Jeans"/>
    <s v="Straight Cut"/>
    <n v="5"/>
    <n v="3844.19"/>
    <n v="0"/>
    <x v="0"/>
    <n v="19220.95"/>
    <d v="2024-07-24T00:00:00"/>
    <x v="3"/>
    <s v="OTHERS"/>
    <n v="29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7">
  <location ref="B26:F40" firstHeaderRow="1" firstDataRow="2" firstDataCol="1"/>
  <pivotFields count="13">
    <pivotField showAll="0"/>
    <pivotField showAll="0"/>
    <pivotField showAll="0">
      <items count="7">
        <item x="5"/>
        <item x="3"/>
        <item x="0"/>
        <item x="2"/>
        <item x="1"/>
        <item x="4"/>
        <item t="default"/>
      </items>
    </pivotField>
    <pivotField showAll="0">
      <items count="25">
        <item x="13"/>
        <item x="10"/>
        <item x="18"/>
        <item x="9"/>
        <item x="2"/>
        <item x="11"/>
        <item x="20"/>
        <item x="21"/>
        <item x="6"/>
        <item x="22"/>
        <item x="5"/>
        <item x="15"/>
        <item x="1"/>
        <item x="4"/>
        <item x="23"/>
        <item x="0"/>
        <item x="14"/>
        <item x="7"/>
        <item x="8"/>
        <item x="12"/>
        <item x="3"/>
        <item x="17"/>
        <item x="16"/>
        <item x="19"/>
        <item t="default"/>
      </items>
    </pivotField>
    <pivotField showAll="0"/>
    <pivotField showAll="0"/>
    <pivotField showAll="0"/>
    <pivotField dataField="1" showAll="0"/>
    <pivotField axis="axisRow" numFmtId="1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showAll="0"/>
    <pivotField showAll="0"/>
    <pivotField showAll="0"/>
    <pivotField axis="axisCol"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4">
    <i>
      <x v="1"/>
    </i>
    <i>
      <x v="2"/>
    </i>
    <i>
      <x v="3"/>
    </i>
    <i t="grand">
      <x/>
    </i>
  </colItems>
  <dataFields count="1">
    <dataField name="Sum of Sales_Amount" fld="7" baseField="0" baseItem="0" numFmtId="164"/>
  </dataFields>
  <chartFormats count="8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9">
  <location ref="E2:F13" firstHeaderRow="1" firstDataRow="1" firstDataCol="1"/>
  <pivotFields count="13">
    <pivotField showAll="0"/>
    <pivotField showAll="0"/>
    <pivotField showAll="0">
      <items count="7">
        <item x="5"/>
        <item x="3"/>
        <item x="0"/>
        <item x="2"/>
        <item x="1"/>
        <item x="4"/>
        <item t="default"/>
      </items>
    </pivotField>
    <pivotField axis="axisRow" showAll="0" measureFilter="1" sortType="ascending">
      <items count="25">
        <item x="13"/>
        <item x="10"/>
        <item x="18"/>
        <item x="9"/>
        <item x="2"/>
        <item x="11"/>
        <item x="20"/>
        <item x="21"/>
        <item x="6"/>
        <item x="22"/>
        <item x="5"/>
        <item x="15"/>
        <item x="1"/>
        <item x="4"/>
        <item x="23"/>
        <item x="0"/>
        <item x="14"/>
        <item x="7"/>
        <item x="8"/>
        <item x="12"/>
        <item x="3"/>
        <item x="17"/>
        <item x="16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11">
    <i>
      <x v="5"/>
    </i>
    <i>
      <x v="13"/>
    </i>
    <i>
      <x v="19"/>
    </i>
    <i>
      <x v="16"/>
    </i>
    <i>
      <x v="3"/>
    </i>
    <i>
      <x v="8"/>
    </i>
    <i>
      <x v="21"/>
    </i>
    <i>
      <x v="7"/>
    </i>
    <i>
      <x v="22"/>
    </i>
    <i>
      <x v="6"/>
    </i>
    <i t="grand">
      <x/>
    </i>
  </rowItems>
  <colItems count="1">
    <i/>
  </colItems>
  <dataFields count="1">
    <dataField name="Sum of Sales_Amount" fld="7" baseField="0" baseItem="0" numFmtId="164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0">
  <location ref="E16:F20" firstHeaderRow="1" firstDataRow="1" firstDataCol="1"/>
  <pivotFields count="13">
    <pivotField showAll="0"/>
    <pivotField showAll="0"/>
    <pivotField showAll="0">
      <items count="7">
        <item x="5"/>
        <item x="3"/>
        <item x="0"/>
        <item x="2"/>
        <item x="1"/>
        <item x="4"/>
        <item t="default"/>
      </items>
    </pivotField>
    <pivotField showAll="0">
      <items count="25">
        <item x="13"/>
        <item x="10"/>
        <item x="18"/>
        <item x="9"/>
        <item x="2"/>
        <item x="11"/>
        <item x="20"/>
        <item x="21"/>
        <item x="6"/>
        <item x="22"/>
        <item x="5"/>
        <item x="15"/>
        <item x="1"/>
        <item x="4"/>
        <item x="23"/>
        <item x="0"/>
        <item x="14"/>
        <item x="7"/>
        <item x="8"/>
        <item x="12"/>
        <item x="3"/>
        <item x="17"/>
        <item x="16"/>
        <item x="19"/>
        <item t="default"/>
      </items>
    </pivotField>
    <pivotField showAll="0"/>
    <pivotField showAll="0"/>
    <pivotField showAll="0"/>
    <pivotField dataField="1" showAll="0"/>
    <pivotField numFmtId="1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7" baseField="0" baseItem="0" numFmtId="164"/>
  </dataFields>
  <chartFormats count="6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 rowHeaderCaption="CitY">
  <location ref="H31:I3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 defaultSubtotal="0"/>
    <pivotField dataField="1" showAll="0"/>
    <pivotField showAll="0"/>
    <pivotField axis="axisRow" showAll="0">
      <items count="7">
        <item x="2"/>
        <item x="1"/>
        <item x="5"/>
        <item x="3"/>
        <item x="0"/>
        <item x="4"/>
        <item t="default"/>
      </items>
    </pivotField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8" baseField="0" baseItem="0" numFmtId="164"/>
  </dataFields>
  <chartFormats count="7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 rowHeaderCaption="Profit by category">
  <location ref="B11:C18" firstHeaderRow="1" firstDataRow="1" firstDataCol="1"/>
  <pivotFields count="13">
    <pivotField showAll="0"/>
    <pivotField showAll="0"/>
    <pivotField axis="axisRow" showAll="0" sortType="ascending">
      <items count="7">
        <item x="5"/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t_Profit_Loss" fld="11" baseField="0" baseItem="0" numFmtId="164"/>
  </dataFields>
  <chartFormats count="4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Discounted vs Notdiscounted">
  <location ref="B20:C23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2">
        <item x="1"/>
        <item x="0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Net_Profit_Loss" fld="12" baseField="0" baseItem="0" numFmtId="164"/>
  </dataField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 rowHeaderCaption="Revenue by category">
  <location ref="B2:C9" firstHeaderRow="1" firstDataRow="1" firstDataCol="1"/>
  <pivotFields count="13">
    <pivotField showAll="0"/>
    <pivotField showAll="0"/>
    <pivotField axis="axisRow" showAll="0" sortType="ascending">
      <items count="7">
        <item x="5"/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7" baseField="0" baseItem="0" numFmtId="164"/>
  </dataFields>
  <chartFormats count="1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9">
  <location ref="H2:I27" firstHeaderRow="1" firstDataRow="1" firstDataCol="1"/>
  <pivotFields count="13">
    <pivotField showAll="0"/>
    <pivotField showAll="0"/>
    <pivotField showAll="0">
      <items count="7">
        <item x="5"/>
        <item x="3"/>
        <item x="0"/>
        <item x="2"/>
        <item x="1"/>
        <item x="4"/>
        <item t="default"/>
      </items>
    </pivotField>
    <pivotField axis="axisRow" showAll="0">
      <items count="25">
        <item x="13"/>
        <item x="10"/>
        <item x="18"/>
        <item x="9"/>
        <item x="2"/>
        <item x="11"/>
        <item x="20"/>
        <item x="21"/>
        <item x="6"/>
        <item x="22"/>
        <item x="5"/>
        <item x="15"/>
        <item x="1"/>
        <item x="4"/>
        <item x="23"/>
        <item x="0"/>
        <item x="14"/>
        <item x="7"/>
        <item x="8"/>
        <item x="12"/>
        <item x="3"/>
        <item x="17"/>
        <item x="16"/>
        <item x="19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Net_Profit_Loss" fld="11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5" name="Table5" displayName="Table5" ref="A1:M372" totalsRowShown="0" headerRowDxfId="15" dataDxfId="13" headerRowBorderDxfId="14">
  <autoFilter ref="A1:M372"/>
  <tableColumns count="13">
    <tableColumn id="1" name="Order_ID" dataDxfId="12"/>
    <tableColumn id="2" name="Customer_Name" dataDxfId="11"/>
    <tableColumn id="3" name="Product_Category" dataDxfId="10"/>
    <tableColumn id="4" name="Product_Name" dataDxfId="9"/>
    <tableColumn id="5" name="Units_Sold" dataDxfId="8"/>
    <tableColumn id="6" name="Unit_Price" dataDxfId="7"/>
    <tableColumn id="7" name="Discount_%" dataDxfId="6"/>
    <tableColumn id="8" name="Discount Type" dataDxfId="5"/>
    <tableColumn id="9" name="Sales_Amount" dataDxfId="4"/>
    <tableColumn id="10" name="Order_Date" dataDxfId="3"/>
    <tableColumn id="11" name="City" dataDxfId="2"/>
    <tableColumn id="12" name="Segment" dataDxfId="1"/>
    <tableColumn id="13" name="Net_Profit_Los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2"/>
  <sheetViews>
    <sheetView showGridLines="0" workbookViewId="0">
      <selection activeCell="I16" activeCellId="1" sqref="I16 I16"/>
    </sheetView>
  </sheetViews>
  <sheetFormatPr defaultRowHeight="14.4"/>
  <cols>
    <col min="1" max="1" width="10.44140625" customWidth="1"/>
    <col min="2" max="2" width="19.88671875" bestFit="1" customWidth="1"/>
    <col min="3" max="3" width="18.109375" customWidth="1"/>
    <col min="4" max="4" width="15.5546875" customWidth="1"/>
    <col min="5" max="5" width="11.88671875" customWidth="1"/>
    <col min="6" max="6" width="11.5546875" customWidth="1"/>
    <col min="7" max="7" width="12.6640625" customWidth="1"/>
    <col min="8" max="8" width="15.109375" bestFit="1" customWidth="1"/>
    <col min="9" max="9" width="15" customWidth="1"/>
    <col min="10" max="10" width="12.5546875" customWidth="1"/>
    <col min="11" max="11" width="10.6640625" bestFit="1" customWidth="1"/>
    <col min="12" max="12" width="10.33203125" customWidth="1"/>
    <col min="13" max="13" width="16.109375" customWidth="1"/>
  </cols>
  <sheetData>
    <row r="1" spans="1:13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431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ht="15" thickTop="1">
      <c r="A2" s="3">
        <v>1002</v>
      </c>
      <c r="B2" s="3" t="s">
        <v>12</v>
      </c>
      <c r="C2" s="3" t="s">
        <v>13</v>
      </c>
      <c r="D2" s="3" t="s">
        <v>14</v>
      </c>
      <c r="E2" s="3">
        <v>1</v>
      </c>
      <c r="F2" s="3">
        <v>637.82000000000005</v>
      </c>
      <c r="G2" s="3">
        <v>0</v>
      </c>
      <c r="H2" s="17" t="s">
        <v>432</v>
      </c>
      <c r="I2" s="3">
        <v>637.82000000000005</v>
      </c>
      <c r="J2" s="4">
        <v>45659</v>
      </c>
      <c r="K2" s="3" t="s">
        <v>15</v>
      </c>
      <c r="L2" s="3" t="s">
        <v>16</v>
      </c>
      <c r="M2" s="5">
        <v>-158.03</v>
      </c>
    </row>
    <row r="3" spans="1:13">
      <c r="A3" s="6">
        <v>1003</v>
      </c>
      <c r="B3" s="6" t="s">
        <v>17</v>
      </c>
      <c r="C3" s="6" t="s">
        <v>18</v>
      </c>
      <c r="D3" s="6" t="s">
        <v>19</v>
      </c>
      <c r="E3" s="6">
        <v>2</v>
      </c>
      <c r="F3" s="6">
        <v>2962.27</v>
      </c>
      <c r="G3" s="3">
        <v>0</v>
      </c>
      <c r="H3" s="17" t="s">
        <v>432</v>
      </c>
      <c r="I3" s="6">
        <v>5924.54</v>
      </c>
      <c r="J3" s="7">
        <v>45826</v>
      </c>
      <c r="K3" s="6" t="s">
        <v>20</v>
      </c>
      <c r="L3" s="6" t="s">
        <v>16</v>
      </c>
      <c r="M3" s="8">
        <v>2296.5</v>
      </c>
    </row>
    <row r="4" spans="1:13">
      <c r="A4" s="3">
        <v>1006</v>
      </c>
      <c r="B4" s="3" t="s">
        <v>21</v>
      </c>
      <c r="C4" s="3" t="s">
        <v>22</v>
      </c>
      <c r="D4" s="3" t="s">
        <v>23</v>
      </c>
      <c r="E4" s="3">
        <v>1</v>
      </c>
      <c r="F4" s="3">
        <v>2060.85</v>
      </c>
      <c r="G4" s="3">
        <v>0</v>
      </c>
      <c r="H4" s="17" t="s">
        <v>432</v>
      </c>
      <c r="I4" s="3">
        <v>2060.85</v>
      </c>
      <c r="J4" s="4">
        <v>45384</v>
      </c>
      <c r="K4" s="3" t="s">
        <v>24</v>
      </c>
      <c r="L4" s="3" t="s">
        <v>16</v>
      </c>
      <c r="M4" s="5">
        <v>198.36</v>
      </c>
    </row>
    <row r="5" spans="1:13">
      <c r="A5" s="6">
        <v>1025</v>
      </c>
      <c r="B5" s="6" t="s">
        <v>25</v>
      </c>
      <c r="C5" s="6" t="s">
        <v>22</v>
      </c>
      <c r="D5" s="6" t="s">
        <v>26</v>
      </c>
      <c r="E5" s="6">
        <v>4</v>
      </c>
      <c r="F5" s="6">
        <v>4595.08</v>
      </c>
      <c r="G5" s="3">
        <v>0</v>
      </c>
      <c r="H5" s="17" t="s">
        <v>432</v>
      </c>
      <c r="I5" s="6">
        <v>18380.32</v>
      </c>
      <c r="J5" s="7">
        <v>45856</v>
      </c>
      <c r="K5" s="6" t="s">
        <v>20</v>
      </c>
      <c r="L5" s="6" t="s">
        <v>27</v>
      </c>
      <c r="M5" s="8">
        <v>330.82</v>
      </c>
    </row>
    <row r="6" spans="1:13">
      <c r="A6" s="3">
        <v>1030</v>
      </c>
      <c r="B6" s="3" t="s">
        <v>28</v>
      </c>
      <c r="C6" s="3" t="s">
        <v>29</v>
      </c>
      <c r="D6" s="3" t="s">
        <v>30</v>
      </c>
      <c r="E6" s="3">
        <v>3</v>
      </c>
      <c r="F6" s="3">
        <v>1069.77</v>
      </c>
      <c r="G6" s="3">
        <v>0</v>
      </c>
      <c r="H6" s="17" t="s">
        <v>432</v>
      </c>
      <c r="I6" s="3">
        <v>3209.31</v>
      </c>
      <c r="J6" s="4">
        <v>45172</v>
      </c>
      <c r="K6" s="3" t="s">
        <v>31</v>
      </c>
      <c r="L6" s="3" t="s">
        <v>32</v>
      </c>
      <c r="M6" s="5">
        <v>1155.3800000000001</v>
      </c>
    </row>
    <row r="7" spans="1:13">
      <c r="A7" s="6">
        <v>1036</v>
      </c>
      <c r="B7" s="6" t="s">
        <v>33</v>
      </c>
      <c r="C7" s="6" t="s">
        <v>34</v>
      </c>
      <c r="D7" s="6" t="s">
        <v>35</v>
      </c>
      <c r="E7" s="6">
        <v>2</v>
      </c>
      <c r="F7" s="6">
        <v>2721.83</v>
      </c>
      <c r="G7" s="3">
        <v>0</v>
      </c>
      <c r="H7" s="17" t="s">
        <v>432</v>
      </c>
      <c r="I7" s="6">
        <v>5443.66</v>
      </c>
      <c r="J7" s="7">
        <v>45388</v>
      </c>
      <c r="K7" s="6" t="s">
        <v>24</v>
      </c>
      <c r="L7" s="6" t="s">
        <v>16</v>
      </c>
      <c r="M7" s="8">
        <v>1213.95</v>
      </c>
    </row>
    <row r="8" spans="1:13">
      <c r="A8" s="3">
        <v>1038</v>
      </c>
      <c r="B8" s="3" t="s">
        <v>36</v>
      </c>
      <c r="C8" s="3" t="s">
        <v>34</v>
      </c>
      <c r="D8" s="3" t="s">
        <v>37</v>
      </c>
      <c r="E8" s="3">
        <v>3</v>
      </c>
      <c r="F8" s="3">
        <v>1692.38</v>
      </c>
      <c r="G8" s="3">
        <v>0</v>
      </c>
      <c r="H8" s="17" t="s">
        <v>432</v>
      </c>
      <c r="I8" s="3">
        <v>5077.1400000000003</v>
      </c>
      <c r="J8" s="4">
        <v>45311</v>
      </c>
      <c r="K8" s="3" t="s">
        <v>20</v>
      </c>
      <c r="L8" s="3" t="s">
        <v>32</v>
      </c>
      <c r="M8" s="5">
        <v>1704.49</v>
      </c>
    </row>
    <row r="9" spans="1:13">
      <c r="A9" s="6">
        <v>1050</v>
      </c>
      <c r="B9" s="6" t="s">
        <v>38</v>
      </c>
      <c r="C9" s="6" t="s">
        <v>22</v>
      </c>
      <c r="D9" s="6" t="s">
        <v>39</v>
      </c>
      <c r="E9" s="6">
        <v>1</v>
      </c>
      <c r="F9" s="6">
        <v>1083.1600000000001</v>
      </c>
      <c r="G9" s="3">
        <v>0</v>
      </c>
      <c r="H9" s="17" t="s">
        <v>432</v>
      </c>
      <c r="I9" s="6">
        <v>1083.1600000000001</v>
      </c>
      <c r="J9" s="7">
        <v>45846</v>
      </c>
      <c r="K9" s="6" t="s">
        <v>40</v>
      </c>
      <c r="L9" s="6" t="s">
        <v>32</v>
      </c>
      <c r="M9" s="8">
        <v>2904.29</v>
      </c>
    </row>
    <row r="10" spans="1:13">
      <c r="A10" s="3">
        <v>1066</v>
      </c>
      <c r="B10" s="3" t="s">
        <v>41</v>
      </c>
      <c r="C10" s="3" t="s">
        <v>18</v>
      </c>
      <c r="D10" s="3" t="s">
        <v>42</v>
      </c>
      <c r="E10" s="3">
        <v>2</v>
      </c>
      <c r="F10" s="3">
        <v>3479.44</v>
      </c>
      <c r="G10" s="3">
        <v>0</v>
      </c>
      <c r="H10" s="17" t="s">
        <v>432</v>
      </c>
      <c r="I10" s="3">
        <v>6958.88</v>
      </c>
      <c r="J10" s="4">
        <v>45672</v>
      </c>
      <c r="K10" s="3" t="s">
        <v>43</v>
      </c>
      <c r="L10" s="3" t="s">
        <v>27</v>
      </c>
      <c r="M10" s="5">
        <v>-252.78</v>
      </c>
    </row>
    <row r="11" spans="1:13">
      <c r="A11" s="6">
        <v>1090</v>
      </c>
      <c r="B11" s="6" t="s">
        <v>44</v>
      </c>
      <c r="C11" s="6" t="s">
        <v>18</v>
      </c>
      <c r="D11" s="6" t="s">
        <v>42</v>
      </c>
      <c r="E11" s="6">
        <v>5</v>
      </c>
      <c r="F11" s="6">
        <v>2477.8200000000002</v>
      </c>
      <c r="G11" s="3">
        <v>0</v>
      </c>
      <c r="H11" s="17" t="s">
        <v>432</v>
      </c>
      <c r="I11" s="6">
        <v>12389.1</v>
      </c>
      <c r="J11" s="7">
        <v>45605</v>
      </c>
      <c r="K11" s="6" t="s">
        <v>24</v>
      </c>
      <c r="L11" s="6" t="s">
        <v>32</v>
      </c>
      <c r="M11" s="8">
        <v>-888.86</v>
      </c>
    </row>
    <row r="12" spans="1:13">
      <c r="A12" s="3">
        <v>1100</v>
      </c>
      <c r="B12" s="3" t="s">
        <v>45</v>
      </c>
      <c r="C12" s="3" t="s">
        <v>18</v>
      </c>
      <c r="D12" s="3" t="s">
        <v>46</v>
      </c>
      <c r="E12" s="3">
        <v>2</v>
      </c>
      <c r="F12" s="3">
        <v>2011.73</v>
      </c>
      <c r="G12" s="3">
        <v>0</v>
      </c>
      <c r="H12" s="17" t="s">
        <v>432</v>
      </c>
      <c r="I12" s="3">
        <v>4023.46</v>
      </c>
      <c r="J12" s="4">
        <v>45656</v>
      </c>
      <c r="K12" s="3" t="s">
        <v>31</v>
      </c>
      <c r="L12" s="3" t="s">
        <v>32</v>
      </c>
      <c r="M12" s="5">
        <v>2493.5</v>
      </c>
    </row>
    <row r="13" spans="1:13">
      <c r="A13" s="6">
        <v>1103</v>
      </c>
      <c r="B13" s="6" t="s">
        <v>47</v>
      </c>
      <c r="C13" s="6" t="s">
        <v>29</v>
      </c>
      <c r="D13" s="6" t="s">
        <v>48</v>
      </c>
      <c r="E13" s="6">
        <v>5</v>
      </c>
      <c r="F13" s="6">
        <v>1521.46</v>
      </c>
      <c r="G13" s="3">
        <v>0</v>
      </c>
      <c r="H13" s="17" t="s">
        <v>432</v>
      </c>
      <c r="I13" s="6">
        <v>7607.3</v>
      </c>
      <c r="J13" s="7">
        <v>45819</v>
      </c>
      <c r="K13" s="6" t="s">
        <v>20</v>
      </c>
      <c r="L13" s="6" t="s">
        <v>16</v>
      </c>
      <c r="M13" s="8">
        <v>1713.47</v>
      </c>
    </row>
    <row r="14" spans="1:13">
      <c r="A14" s="3">
        <v>1104</v>
      </c>
      <c r="B14" s="3" t="s">
        <v>49</v>
      </c>
      <c r="C14" s="3" t="s">
        <v>29</v>
      </c>
      <c r="D14" s="3" t="s">
        <v>30</v>
      </c>
      <c r="E14" s="3">
        <v>3</v>
      </c>
      <c r="F14" s="3">
        <v>2752.71</v>
      </c>
      <c r="G14" s="3">
        <v>0</v>
      </c>
      <c r="H14" s="17" t="s">
        <v>432</v>
      </c>
      <c r="I14" s="3">
        <v>8258.1299999999992</v>
      </c>
      <c r="J14" s="4">
        <v>45454</v>
      </c>
      <c r="K14" s="3" t="s">
        <v>24</v>
      </c>
      <c r="L14" s="3" t="s">
        <v>16</v>
      </c>
      <c r="M14" s="5">
        <v>1660.01</v>
      </c>
    </row>
    <row r="15" spans="1:13">
      <c r="A15" s="6">
        <v>1114</v>
      </c>
      <c r="B15" s="6" t="s">
        <v>50</v>
      </c>
      <c r="C15" s="6" t="s">
        <v>29</v>
      </c>
      <c r="D15" s="6" t="s">
        <v>48</v>
      </c>
      <c r="E15" s="6">
        <v>6</v>
      </c>
      <c r="F15" s="6">
        <v>568.61</v>
      </c>
      <c r="G15" s="3">
        <v>0.2</v>
      </c>
      <c r="H15" s="17" t="s">
        <v>433</v>
      </c>
      <c r="I15" s="6">
        <v>2729.33</v>
      </c>
      <c r="J15" s="7">
        <v>45706</v>
      </c>
      <c r="K15" s="6" t="s">
        <v>43</v>
      </c>
      <c r="L15" s="6" t="s">
        <v>32</v>
      </c>
      <c r="M15" s="8">
        <v>-689.16</v>
      </c>
    </row>
    <row r="16" spans="1:13">
      <c r="A16" s="3">
        <v>1123</v>
      </c>
      <c r="B16" s="3" t="s">
        <v>51</v>
      </c>
      <c r="C16" s="3" t="s">
        <v>52</v>
      </c>
      <c r="D16" s="3" t="s">
        <v>53</v>
      </c>
      <c r="E16" s="3">
        <v>5</v>
      </c>
      <c r="F16" s="3">
        <v>3978.76</v>
      </c>
      <c r="G16" s="3">
        <v>0</v>
      </c>
      <c r="H16" s="17" t="s">
        <v>432</v>
      </c>
      <c r="I16" s="3">
        <v>19893.8</v>
      </c>
      <c r="J16" s="4">
        <v>45393</v>
      </c>
      <c r="K16" s="3" t="s">
        <v>24</v>
      </c>
      <c r="L16" s="3" t="s">
        <v>27</v>
      </c>
      <c r="M16" s="5">
        <v>1494.78</v>
      </c>
    </row>
    <row r="17" spans="1:13">
      <c r="A17" s="6">
        <v>1127</v>
      </c>
      <c r="B17" s="6" t="s">
        <v>54</v>
      </c>
      <c r="C17" s="6" t="s">
        <v>29</v>
      </c>
      <c r="D17" s="6" t="s">
        <v>48</v>
      </c>
      <c r="E17" s="6">
        <v>3</v>
      </c>
      <c r="F17" s="6">
        <v>4843.4399999999996</v>
      </c>
      <c r="G17" s="3">
        <v>7.0000000000000007E-2</v>
      </c>
      <c r="H17" s="17" t="s">
        <v>433</v>
      </c>
      <c r="I17" s="6">
        <v>13513.2</v>
      </c>
      <c r="J17" s="7">
        <v>45511</v>
      </c>
      <c r="K17" s="6" t="s">
        <v>24</v>
      </c>
      <c r="L17" s="6" t="s">
        <v>16</v>
      </c>
      <c r="M17" s="8">
        <v>2881.91</v>
      </c>
    </row>
    <row r="18" spans="1:13">
      <c r="A18" s="3">
        <v>1129</v>
      </c>
      <c r="B18" s="3" t="s">
        <v>55</v>
      </c>
      <c r="C18" s="3" t="s">
        <v>22</v>
      </c>
      <c r="D18" s="3" t="s">
        <v>23</v>
      </c>
      <c r="E18" s="3">
        <v>2</v>
      </c>
      <c r="F18" s="3">
        <v>2412.36</v>
      </c>
      <c r="G18" s="3">
        <v>0.23</v>
      </c>
      <c r="H18" s="17" t="s">
        <v>433</v>
      </c>
      <c r="I18" s="3">
        <v>3715.03</v>
      </c>
      <c r="J18" s="4">
        <v>45835</v>
      </c>
      <c r="K18" s="3" t="s">
        <v>15</v>
      </c>
      <c r="L18" s="3" t="s">
        <v>32</v>
      </c>
      <c r="M18" s="5">
        <v>-668.36</v>
      </c>
    </row>
    <row r="19" spans="1:13">
      <c r="A19" s="6">
        <v>1135</v>
      </c>
      <c r="B19" s="6" t="s">
        <v>56</v>
      </c>
      <c r="C19" s="6" t="s">
        <v>18</v>
      </c>
      <c r="D19" s="6" t="s">
        <v>57</v>
      </c>
      <c r="E19" s="6">
        <v>4</v>
      </c>
      <c r="F19" s="6">
        <v>1556.96</v>
      </c>
      <c r="G19" s="3">
        <v>0.84</v>
      </c>
      <c r="H19" s="17" t="s">
        <v>433</v>
      </c>
      <c r="I19" s="6">
        <v>996.45</v>
      </c>
      <c r="J19" s="7">
        <v>45588</v>
      </c>
      <c r="K19" s="6" t="s">
        <v>15</v>
      </c>
      <c r="L19" s="6" t="s">
        <v>16</v>
      </c>
      <c r="M19" s="8">
        <v>1432.84</v>
      </c>
    </row>
    <row r="20" spans="1:13">
      <c r="A20" s="3">
        <v>1142</v>
      </c>
      <c r="B20" s="3" t="s">
        <v>58</v>
      </c>
      <c r="C20" s="3" t="s">
        <v>29</v>
      </c>
      <c r="D20" s="3" t="s">
        <v>48</v>
      </c>
      <c r="E20" s="3">
        <v>6</v>
      </c>
      <c r="F20" s="3">
        <v>3004.58</v>
      </c>
      <c r="G20" s="3">
        <v>0</v>
      </c>
      <c r="H20" s="17" t="s">
        <v>432</v>
      </c>
      <c r="I20" s="3">
        <v>18027.48</v>
      </c>
      <c r="J20" s="4">
        <v>45344</v>
      </c>
      <c r="K20" s="3" t="s">
        <v>31</v>
      </c>
      <c r="L20" s="3" t="s">
        <v>32</v>
      </c>
      <c r="M20" s="5">
        <v>-509.67</v>
      </c>
    </row>
    <row r="21" spans="1:13">
      <c r="A21" s="6">
        <v>1145</v>
      </c>
      <c r="B21" s="6" t="s">
        <v>59</v>
      </c>
      <c r="C21" s="6" t="s">
        <v>34</v>
      </c>
      <c r="D21" s="6" t="s">
        <v>35</v>
      </c>
      <c r="E21" s="6">
        <v>2</v>
      </c>
      <c r="F21" s="6">
        <v>3607.9</v>
      </c>
      <c r="G21" s="3">
        <v>0.94</v>
      </c>
      <c r="H21" s="17" t="s">
        <v>433</v>
      </c>
      <c r="I21" s="6">
        <v>432.95</v>
      </c>
      <c r="J21" s="7">
        <v>45602</v>
      </c>
      <c r="K21" s="6" t="s">
        <v>31</v>
      </c>
      <c r="L21" s="6" t="s">
        <v>16</v>
      </c>
      <c r="M21" s="8">
        <v>-171.58</v>
      </c>
    </row>
    <row r="22" spans="1:13">
      <c r="A22" s="3">
        <v>1151</v>
      </c>
      <c r="B22" s="3" t="s">
        <v>60</v>
      </c>
      <c r="C22" s="3" t="s">
        <v>22</v>
      </c>
      <c r="D22" s="3" t="s">
        <v>26</v>
      </c>
      <c r="E22" s="3">
        <v>4</v>
      </c>
      <c r="F22" s="3">
        <v>2266.44</v>
      </c>
      <c r="G22" s="3">
        <v>0.33</v>
      </c>
      <c r="H22" s="17" t="s">
        <v>433</v>
      </c>
      <c r="I22" s="3">
        <v>6074.06</v>
      </c>
      <c r="J22" s="4">
        <v>45855</v>
      </c>
      <c r="K22" s="3" t="s">
        <v>40</v>
      </c>
      <c r="L22" s="3" t="s">
        <v>32</v>
      </c>
      <c r="M22" s="5">
        <v>-655.45</v>
      </c>
    </row>
    <row r="23" spans="1:13">
      <c r="A23" s="6">
        <v>1153</v>
      </c>
      <c r="B23" s="6" t="s">
        <v>61</v>
      </c>
      <c r="C23" s="6" t="s">
        <v>52</v>
      </c>
      <c r="D23" s="6" t="s">
        <v>62</v>
      </c>
      <c r="E23" s="6">
        <v>1</v>
      </c>
      <c r="F23" s="6">
        <v>478.59</v>
      </c>
      <c r="G23" s="3">
        <v>0</v>
      </c>
      <c r="H23" s="17" t="s">
        <v>432</v>
      </c>
      <c r="I23" s="6">
        <v>478.59</v>
      </c>
      <c r="J23" s="7">
        <v>45641</v>
      </c>
      <c r="K23" s="6" t="s">
        <v>43</v>
      </c>
      <c r="L23" s="6" t="s">
        <v>16</v>
      </c>
      <c r="M23" s="8">
        <v>-681.2</v>
      </c>
    </row>
    <row r="24" spans="1:13">
      <c r="A24" s="3">
        <v>1157</v>
      </c>
      <c r="B24" s="3" t="s">
        <v>63</v>
      </c>
      <c r="C24" s="3" t="s">
        <v>22</v>
      </c>
      <c r="D24" s="3" t="s">
        <v>64</v>
      </c>
      <c r="E24" s="3">
        <v>6</v>
      </c>
      <c r="F24" s="3">
        <v>645.03</v>
      </c>
      <c r="G24" s="3">
        <v>0</v>
      </c>
      <c r="H24" s="17" t="s">
        <v>432</v>
      </c>
      <c r="I24" s="3">
        <v>3870.18</v>
      </c>
      <c r="J24" s="4">
        <v>45833</v>
      </c>
      <c r="K24" s="3" t="s">
        <v>24</v>
      </c>
      <c r="L24" s="3" t="s">
        <v>32</v>
      </c>
      <c r="M24" s="5">
        <v>2724.92</v>
      </c>
    </row>
    <row r="25" spans="1:13">
      <c r="A25" s="6">
        <v>1172</v>
      </c>
      <c r="B25" s="6" t="s">
        <v>65</v>
      </c>
      <c r="C25" s="6" t="s">
        <v>13</v>
      </c>
      <c r="D25" s="6" t="s">
        <v>14</v>
      </c>
      <c r="E25" s="6">
        <v>2</v>
      </c>
      <c r="F25" s="6">
        <v>2719.32</v>
      </c>
      <c r="G25" s="3">
        <v>0</v>
      </c>
      <c r="H25" s="17" t="s">
        <v>432</v>
      </c>
      <c r="I25" s="6">
        <v>5438.64</v>
      </c>
      <c r="J25" s="7">
        <v>45779</v>
      </c>
      <c r="K25" s="6" t="s">
        <v>31</v>
      </c>
      <c r="L25" s="6" t="s">
        <v>32</v>
      </c>
      <c r="M25" s="8">
        <v>655.1</v>
      </c>
    </row>
    <row r="26" spans="1:13">
      <c r="A26" s="3">
        <v>1174</v>
      </c>
      <c r="B26" s="3" t="s">
        <v>66</v>
      </c>
      <c r="C26" s="3" t="s">
        <v>13</v>
      </c>
      <c r="D26" s="3" t="s">
        <v>67</v>
      </c>
      <c r="E26" s="3">
        <v>6</v>
      </c>
      <c r="F26" s="3">
        <v>4984.6499999999996</v>
      </c>
      <c r="G26" s="3">
        <v>0.42</v>
      </c>
      <c r="H26" s="17" t="s">
        <v>433</v>
      </c>
      <c r="I26" s="3">
        <v>17346.580000000002</v>
      </c>
      <c r="J26" s="4">
        <v>45649</v>
      </c>
      <c r="K26" s="3" t="s">
        <v>20</v>
      </c>
      <c r="L26" s="3" t="s">
        <v>27</v>
      </c>
      <c r="M26" s="5">
        <v>2931.32</v>
      </c>
    </row>
    <row r="27" spans="1:13">
      <c r="A27" s="6">
        <v>1183</v>
      </c>
      <c r="B27" s="6" t="s">
        <v>68</v>
      </c>
      <c r="C27" s="6" t="s">
        <v>52</v>
      </c>
      <c r="D27" s="6" t="s">
        <v>69</v>
      </c>
      <c r="E27" s="6">
        <v>6</v>
      </c>
      <c r="F27" s="6">
        <v>2372.3000000000002</v>
      </c>
      <c r="G27" s="3">
        <v>0</v>
      </c>
      <c r="H27" s="17" t="s">
        <v>432</v>
      </c>
      <c r="I27" s="6">
        <v>14233.8</v>
      </c>
      <c r="J27" s="7">
        <v>45378</v>
      </c>
      <c r="K27" s="6" t="s">
        <v>43</v>
      </c>
      <c r="L27" s="6" t="s">
        <v>27</v>
      </c>
      <c r="M27" s="8">
        <v>1888.87</v>
      </c>
    </row>
    <row r="28" spans="1:13">
      <c r="A28" s="3">
        <v>1188</v>
      </c>
      <c r="B28" s="3" t="s">
        <v>70</v>
      </c>
      <c r="C28" s="3" t="s">
        <v>52</v>
      </c>
      <c r="D28" s="3" t="s">
        <v>62</v>
      </c>
      <c r="E28" s="3">
        <v>6</v>
      </c>
      <c r="F28" s="3">
        <v>4910.28</v>
      </c>
      <c r="G28" s="3">
        <v>0.12</v>
      </c>
      <c r="H28" s="17" t="s">
        <v>433</v>
      </c>
      <c r="I28" s="3">
        <v>25926.28</v>
      </c>
      <c r="J28" s="4">
        <v>45531</v>
      </c>
      <c r="K28" s="3" t="s">
        <v>20</v>
      </c>
      <c r="L28" s="3" t="s">
        <v>27</v>
      </c>
      <c r="M28" s="5">
        <v>2089.25</v>
      </c>
    </row>
    <row r="29" spans="1:13">
      <c r="A29" s="6">
        <v>1198</v>
      </c>
      <c r="B29" s="6" t="s">
        <v>71</v>
      </c>
      <c r="C29" s="6" t="s">
        <v>52</v>
      </c>
      <c r="D29" s="6" t="s">
        <v>72</v>
      </c>
      <c r="E29" s="6">
        <v>3</v>
      </c>
      <c r="F29" s="6">
        <v>3594.97</v>
      </c>
      <c r="G29" s="3">
        <v>0</v>
      </c>
      <c r="H29" s="17" t="s">
        <v>432</v>
      </c>
      <c r="I29" s="6">
        <v>10784.91</v>
      </c>
      <c r="J29" s="7">
        <v>45764</v>
      </c>
      <c r="K29" s="6" t="s">
        <v>43</v>
      </c>
      <c r="L29" s="6" t="s">
        <v>32</v>
      </c>
      <c r="M29" s="8">
        <v>2422.27</v>
      </c>
    </row>
    <row r="30" spans="1:13">
      <c r="A30" s="3">
        <v>1201</v>
      </c>
      <c r="B30" s="3" t="s">
        <v>73</v>
      </c>
      <c r="C30" s="3" t="s">
        <v>13</v>
      </c>
      <c r="D30" s="3" t="s">
        <v>74</v>
      </c>
      <c r="E30" s="3">
        <v>2</v>
      </c>
      <c r="F30" s="3">
        <v>3507.85</v>
      </c>
      <c r="G30" s="3">
        <v>0</v>
      </c>
      <c r="H30" s="17" t="s">
        <v>432</v>
      </c>
      <c r="I30" s="3">
        <v>7015.7</v>
      </c>
      <c r="J30" s="4">
        <v>45667</v>
      </c>
      <c r="K30" s="3" t="s">
        <v>40</v>
      </c>
      <c r="L30" s="3" t="s">
        <v>16</v>
      </c>
      <c r="M30" s="5">
        <v>1023.04</v>
      </c>
    </row>
    <row r="31" spans="1:13">
      <c r="A31" s="6">
        <v>1212</v>
      </c>
      <c r="B31" s="6" t="s">
        <v>75</v>
      </c>
      <c r="C31" s="6" t="s">
        <v>18</v>
      </c>
      <c r="D31" s="6" t="s">
        <v>42</v>
      </c>
      <c r="E31" s="6">
        <v>1</v>
      </c>
      <c r="F31" s="6">
        <v>4098.12</v>
      </c>
      <c r="G31" s="3">
        <v>0</v>
      </c>
      <c r="H31" s="17" t="s">
        <v>432</v>
      </c>
      <c r="I31" s="6">
        <v>4098.12</v>
      </c>
      <c r="J31" s="7">
        <v>45582</v>
      </c>
      <c r="K31" s="6" t="s">
        <v>31</v>
      </c>
      <c r="L31" s="6" t="s">
        <v>27</v>
      </c>
      <c r="M31" s="8">
        <v>-656.35</v>
      </c>
    </row>
    <row r="32" spans="1:13">
      <c r="A32" s="3">
        <v>1214</v>
      </c>
      <c r="B32" s="3" t="s">
        <v>76</v>
      </c>
      <c r="C32" s="3" t="s">
        <v>13</v>
      </c>
      <c r="D32" s="3" t="s">
        <v>67</v>
      </c>
      <c r="E32" s="3">
        <v>4</v>
      </c>
      <c r="F32" s="3">
        <v>1273.5999999999999</v>
      </c>
      <c r="G32" s="3">
        <v>0</v>
      </c>
      <c r="H32" s="17" t="s">
        <v>432</v>
      </c>
      <c r="I32" s="3">
        <v>5094.3999999999996</v>
      </c>
      <c r="J32" s="4">
        <v>45826</v>
      </c>
      <c r="K32" s="3" t="s">
        <v>31</v>
      </c>
      <c r="L32" s="3" t="s">
        <v>32</v>
      </c>
      <c r="M32" s="5">
        <v>1851.89</v>
      </c>
    </row>
    <row r="33" spans="1:13">
      <c r="A33" s="6">
        <v>1218</v>
      </c>
      <c r="B33" s="6" t="s">
        <v>77</v>
      </c>
      <c r="C33" s="6" t="s">
        <v>29</v>
      </c>
      <c r="D33" s="6" t="s">
        <v>78</v>
      </c>
      <c r="E33" s="6">
        <v>3</v>
      </c>
      <c r="F33" s="6">
        <v>1544.45</v>
      </c>
      <c r="G33" s="3">
        <v>0.33</v>
      </c>
      <c r="H33" s="17" t="s">
        <v>433</v>
      </c>
      <c r="I33" s="6">
        <v>3104.34</v>
      </c>
      <c r="J33" s="7">
        <v>45747</v>
      </c>
      <c r="K33" s="6" t="s">
        <v>31</v>
      </c>
      <c r="L33" s="6" t="s">
        <v>16</v>
      </c>
      <c r="M33" s="8">
        <v>707.56</v>
      </c>
    </row>
    <row r="34" spans="1:13">
      <c r="A34" s="3">
        <v>1232</v>
      </c>
      <c r="B34" s="3" t="s">
        <v>79</v>
      </c>
      <c r="C34" s="3" t="s">
        <v>18</v>
      </c>
      <c r="D34" s="3" t="s">
        <v>57</v>
      </c>
      <c r="E34" s="3">
        <v>2</v>
      </c>
      <c r="F34" s="3">
        <v>2526.77</v>
      </c>
      <c r="G34" s="3">
        <v>0</v>
      </c>
      <c r="H34" s="17" t="s">
        <v>432</v>
      </c>
      <c r="I34" s="3">
        <v>5053.54</v>
      </c>
      <c r="J34" s="4">
        <v>45183</v>
      </c>
      <c r="K34" s="3" t="s">
        <v>15</v>
      </c>
      <c r="L34" s="3" t="s">
        <v>32</v>
      </c>
      <c r="M34" s="5">
        <v>1494.67</v>
      </c>
    </row>
    <row r="35" spans="1:13">
      <c r="A35" s="6">
        <v>1239</v>
      </c>
      <c r="B35" s="6" t="s">
        <v>80</v>
      </c>
      <c r="C35" s="6" t="s">
        <v>34</v>
      </c>
      <c r="D35" s="6" t="s">
        <v>35</v>
      </c>
      <c r="E35" s="6">
        <v>4</v>
      </c>
      <c r="F35" s="6">
        <v>644.58000000000004</v>
      </c>
      <c r="G35" s="3">
        <v>0</v>
      </c>
      <c r="H35" s="17" t="s">
        <v>432</v>
      </c>
      <c r="I35" s="6">
        <v>2578.3200000000002</v>
      </c>
      <c r="J35" s="7">
        <v>45585</v>
      </c>
      <c r="K35" s="6" t="s">
        <v>43</v>
      </c>
      <c r="L35" s="6" t="s">
        <v>16</v>
      </c>
      <c r="M35" s="8">
        <v>1097.8800000000001</v>
      </c>
    </row>
    <row r="36" spans="1:13">
      <c r="A36" s="3">
        <v>1241</v>
      </c>
      <c r="B36" s="3" t="s">
        <v>81</v>
      </c>
      <c r="C36" s="3" t="s">
        <v>22</v>
      </c>
      <c r="D36" s="3" t="s">
        <v>39</v>
      </c>
      <c r="E36" s="3">
        <v>6</v>
      </c>
      <c r="F36" s="3">
        <v>3111.95</v>
      </c>
      <c r="G36" s="3">
        <v>0</v>
      </c>
      <c r="H36" s="17" t="s">
        <v>432</v>
      </c>
      <c r="I36" s="3">
        <v>18671.7</v>
      </c>
      <c r="J36" s="4">
        <v>45465</v>
      </c>
      <c r="K36" s="3" t="s">
        <v>20</v>
      </c>
      <c r="L36" s="3" t="s">
        <v>27</v>
      </c>
      <c r="M36" s="5">
        <v>2814.82</v>
      </c>
    </row>
    <row r="37" spans="1:13">
      <c r="A37" s="6">
        <v>1251</v>
      </c>
      <c r="B37" s="6" t="s">
        <v>82</v>
      </c>
      <c r="C37" s="6" t="s">
        <v>29</v>
      </c>
      <c r="D37" s="6" t="s">
        <v>83</v>
      </c>
      <c r="E37" s="6">
        <v>2</v>
      </c>
      <c r="F37" s="6">
        <v>4841.3999999999996</v>
      </c>
      <c r="G37" s="3">
        <v>0.6</v>
      </c>
      <c r="H37" s="17" t="s">
        <v>433</v>
      </c>
      <c r="I37" s="6">
        <v>3873.12</v>
      </c>
      <c r="J37" s="7">
        <v>45692</v>
      </c>
      <c r="K37" s="6" t="s">
        <v>40</v>
      </c>
      <c r="L37" s="6" t="s">
        <v>27</v>
      </c>
      <c r="M37" s="8">
        <v>578.37</v>
      </c>
    </row>
    <row r="38" spans="1:13">
      <c r="A38" s="3">
        <v>1252</v>
      </c>
      <c r="B38" s="3" t="s">
        <v>84</v>
      </c>
      <c r="C38" s="3" t="s">
        <v>34</v>
      </c>
      <c r="D38" s="3" t="s">
        <v>85</v>
      </c>
      <c r="E38" s="3">
        <v>6</v>
      </c>
      <c r="F38" s="3">
        <v>1638.51</v>
      </c>
      <c r="G38" s="3">
        <v>0.88</v>
      </c>
      <c r="H38" s="17" t="s">
        <v>433</v>
      </c>
      <c r="I38" s="3">
        <v>1179.73</v>
      </c>
      <c r="J38" s="4">
        <v>45749</v>
      </c>
      <c r="K38" s="3" t="s">
        <v>15</v>
      </c>
      <c r="L38" s="3" t="s">
        <v>32</v>
      </c>
      <c r="M38" s="5">
        <v>1484.7</v>
      </c>
    </row>
    <row r="39" spans="1:13">
      <c r="A39" s="6">
        <v>1255</v>
      </c>
      <c r="B39" s="6" t="s">
        <v>86</v>
      </c>
      <c r="C39" s="6" t="s">
        <v>34</v>
      </c>
      <c r="D39" s="6" t="s">
        <v>85</v>
      </c>
      <c r="E39" s="6">
        <v>4</v>
      </c>
      <c r="F39" s="6">
        <v>1849.68</v>
      </c>
      <c r="G39" s="3">
        <v>0</v>
      </c>
      <c r="H39" s="17" t="s">
        <v>432</v>
      </c>
      <c r="I39" s="6">
        <v>7398.72</v>
      </c>
      <c r="J39" s="7">
        <v>45632</v>
      </c>
      <c r="K39" s="6" t="s">
        <v>31</v>
      </c>
      <c r="L39" s="6" t="s">
        <v>32</v>
      </c>
      <c r="M39" s="8">
        <v>-706.09</v>
      </c>
    </row>
    <row r="40" spans="1:13">
      <c r="A40" s="3">
        <v>1258</v>
      </c>
      <c r="B40" s="3" t="s">
        <v>87</v>
      </c>
      <c r="C40" s="3" t="s">
        <v>29</v>
      </c>
      <c r="D40" s="3" t="s">
        <v>48</v>
      </c>
      <c r="E40" s="3">
        <v>2</v>
      </c>
      <c r="F40" s="3">
        <v>4313.38</v>
      </c>
      <c r="G40" s="3">
        <v>0</v>
      </c>
      <c r="H40" s="17" t="s">
        <v>432</v>
      </c>
      <c r="I40" s="3">
        <v>8626.76</v>
      </c>
      <c r="J40" s="4">
        <v>45728</v>
      </c>
      <c r="K40" s="3" t="s">
        <v>43</v>
      </c>
      <c r="L40" s="3" t="s">
        <v>32</v>
      </c>
      <c r="M40" s="5">
        <v>2636.96</v>
      </c>
    </row>
    <row r="41" spans="1:13">
      <c r="A41" s="6">
        <v>1259</v>
      </c>
      <c r="B41" s="6" t="s">
        <v>88</v>
      </c>
      <c r="C41" s="6" t="s">
        <v>18</v>
      </c>
      <c r="D41" s="6" t="s">
        <v>46</v>
      </c>
      <c r="E41" s="6">
        <v>2</v>
      </c>
      <c r="F41" s="6">
        <v>3396.92</v>
      </c>
      <c r="G41" s="3">
        <v>0</v>
      </c>
      <c r="H41" s="17" t="s">
        <v>432</v>
      </c>
      <c r="I41" s="6">
        <v>6793.84</v>
      </c>
      <c r="J41" s="7">
        <v>45782</v>
      </c>
      <c r="K41" s="6" t="s">
        <v>24</v>
      </c>
      <c r="L41" s="6" t="s">
        <v>27</v>
      </c>
      <c r="M41" s="8">
        <v>-830.5</v>
      </c>
    </row>
    <row r="42" spans="1:13">
      <c r="A42" s="3">
        <v>1267</v>
      </c>
      <c r="B42" s="3" t="s">
        <v>89</v>
      </c>
      <c r="C42" s="3" t="s">
        <v>13</v>
      </c>
      <c r="D42" s="3" t="s">
        <v>74</v>
      </c>
      <c r="E42" s="3">
        <v>3</v>
      </c>
      <c r="F42" s="3">
        <v>3255.23</v>
      </c>
      <c r="G42" s="3">
        <v>0</v>
      </c>
      <c r="H42" s="17" t="s">
        <v>432</v>
      </c>
      <c r="I42" s="3">
        <v>9765.69</v>
      </c>
      <c r="J42" s="4">
        <v>45246</v>
      </c>
      <c r="K42" s="3" t="s">
        <v>43</v>
      </c>
      <c r="L42" s="3" t="s">
        <v>16</v>
      </c>
      <c r="M42" s="5">
        <v>650.79999999999995</v>
      </c>
    </row>
    <row r="43" spans="1:13">
      <c r="A43" s="6">
        <v>1275</v>
      </c>
      <c r="B43" s="6" t="s">
        <v>90</v>
      </c>
      <c r="C43" s="6" t="s">
        <v>29</v>
      </c>
      <c r="D43" s="6" t="s">
        <v>83</v>
      </c>
      <c r="E43" s="6">
        <v>3</v>
      </c>
      <c r="F43" s="6">
        <v>4132</v>
      </c>
      <c r="G43" s="3">
        <v>0</v>
      </c>
      <c r="H43" s="17" t="s">
        <v>432</v>
      </c>
      <c r="I43" s="6">
        <v>12396</v>
      </c>
      <c r="J43" s="7">
        <v>45348</v>
      </c>
      <c r="K43" s="6" t="s">
        <v>20</v>
      </c>
      <c r="L43" s="6" t="s">
        <v>16</v>
      </c>
      <c r="M43" s="8">
        <v>2732.47</v>
      </c>
    </row>
    <row r="44" spans="1:13">
      <c r="A44" s="3">
        <v>1277</v>
      </c>
      <c r="B44" s="3" t="s">
        <v>91</v>
      </c>
      <c r="C44" s="3" t="s">
        <v>52</v>
      </c>
      <c r="D44" s="3" t="s">
        <v>72</v>
      </c>
      <c r="E44" s="3">
        <v>2</v>
      </c>
      <c r="F44" s="3">
        <v>4720.5200000000004</v>
      </c>
      <c r="G44" s="3">
        <v>0.56999999999999995</v>
      </c>
      <c r="H44" s="17" t="s">
        <v>433</v>
      </c>
      <c r="I44" s="3">
        <v>4059.65</v>
      </c>
      <c r="J44" s="4">
        <v>45540</v>
      </c>
      <c r="K44" s="3" t="s">
        <v>43</v>
      </c>
      <c r="L44" s="3" t="s">
        <v>32</v>
      </c>
      <c r="M44" s="5">
        <v>1255.6600000000001</v>
      </c>
    </row>
    <row r="45" spans="1:13">
      <c r="A45" s="6">
        <v>1296</v>
      </c>
      <c r="B45" s="6" t="s">
        <v>92</v>
      </c>
      <c r="C45" s="6" t="s">
        <v>22</v>
      </c>
      <c r="D45" s="6" t="s">
        <v>39</v>
      </c>
      <c r="E45" s="6">
        <v>2</v>
      </c>
      <c r="F45" s="6">
        <v>2795.79</v>
      </c>
      <c r="G45" s="3">
        <v>0</v>
      </c>
      <c r="H45" s="17" t="s">
        <v>432</v>
      </c>
      <c r="I45" s="6">
        <v>5591.58</v>
      </c>
      <c r="J45" s="7">
        <v>45742</v>
      </c>
      <c r="K45" s="6" t="s">
        <v>20</v>
      </c>
      <c r="L45" s="6" t="s">
        <v>16</v>
      </c>
      <c r="M45" s="8">
        <v>1438.47</v>
      </c>
    </row>
    <row r="46" spans="1:13">
      <c r="A46" s="3">
        <v>1299</v>
      </c>
      <c r="B46" s="3" t="s">
        <v>93</v>
      </c>
      <c r="C46" s="3" t="s">
        <v>13</v>
      </c>
      <c r="D46" s="3" t="s">
        <v>94</v>
      </c>
      <c r="E46" s="3">
        <v>1</v>
      </c>
      <c r="F46" s="3">
        <v>1026.58</v>
      </c>
      <c r="G46" s="3">
        <v>0</v>
      </c>
      <c r="H46" s="17" t="s">
        <v>432</v>
      </c>
      <c r="I46" s="3">
        <v>1026.58</v>
      </c>
      <c r="J46" s="4">
        <v>45591</v>
      </c>
      <c r="K46" s="3" t="s">
        <v>31</v>
      </c>
      <c r="L46" s="3" t="s">
        <v>32</v>
      </c>
      <c r="M46" s="5">
        <v>1178.3699999999999</v>
      </c>
    </row>
    <row r="47" spans="1:13">
      <c r="A47" s="6">
        <v>1307</v>
      </c>
      <c r="B47" s="6" t="s">
        <v>95</v>
      </c>
      <c r="C47" s="6" t="s">
        <v>29</v>
      </c>
      <c r="D47" s="6" t="s">
        <v>30</v>
      </c>
      <c r="E47" s="6">
        <v>2</v>
      </c>
      <c r="F47" s="6">
        <v>2648.43</v>
      </c>
      <c r="G47" s="3">
        <v>0</v>
      </c>
      <c r="H47" s="17" t="s">
        <v>432</v>
      </c>
      <c r="I47" s="6">
        <v>5296.86</v>
      </c>
      <c r="J47" s="7">
        <v>45512</v>
      </c>
      <c r="K47" s="6" t="s">
        <v>24</v>
      </c>
      <c r="L47" s="6" t="s">
        <v>16</v>
      </c>
      <c r="M47" s="8">
        <v>642</v>
      </c>
    </row>
    <row r="48" spans="1:13">
      <c r="A48" s="3">
        <v>1308</v>
      </c>
      <c r="B48" s="3" t="s">
        <v>96</v>
      </c>
      <c r="C48" s="3" t="s">
        <v>29</v>
      </c>
      <c r="D48" s="3" t="s">
        <v>48</v>
      </c>
      <c r="E48" s="3">
        <v>2</v>
      </c>
      <c r="F48" s="3">
        <v>4203.62</v>
      </c>
      <c r="G48" s="3">
        <v>0</v>
      </c>
      <c r="H48" s="17" t="s">
        <v>432</v>
      </c>
      <c r="I48" s="3">
        <v>8407.24</v>
      </c>
      <c r="J48" s="4">
        <v>45755</v>
      </c>
      <c r="K48" s="3" t="s">
        <v>15</v>
      </c>
      <c r="L48" s="3" t="s">
        <v>16</v>
      </c>
      <c r="M48" s="5">
        <v>464.65</v>
      </c>
    </row>
    <row r="49" spans="1:13">
      <c r="A49" s="6">
        <v>1315</v>
      </c>
      <c r="B49" s="6" t="s">
        <v>97</v>
      </c>
      <c r="C49" s="6" t="s">
        <v>22</v>
      </c>
      <c r="D49" s="6" t="s">
        <v>23</v>
      </c>
      <c r="E49" s="6">
        <v>2</v>
      </c>
      <c r="F49" s="6">
        <v>515.04</v>
      </c>
      <c r="G49" s="3">
        <v>0</v>
      </c>
      <c r="H49" s="17" t="s">
        <v>432</v>
      </c>
      <c r="I49" s="6">
        <v>1030.08</v>
      </c>
      <c r="J49" s="7">
        <v>45473</v>
      </c>
      <c r="K49" s="6" t="s">
        <v>20</v>
      </c>
      <c r="L49" s="6" t="s">
        <v>27</v>
      </c>
      <c r="M49" s="8">
        <v>-279.01</v>
      </c>
    </row>
    <row r="50" spans="1:13">
      <c r="A50" s="3">
        <v>1328</v>
      </c>
      <c r="B50" s="3" t="s">
        <v>98</v>
      </c>
      <c r="C50" s="3" t="s">
        <v>18</v>
      </c>
      <c r="D50" s="3" t="s">
        <v>46</v>
      </c>
      <c r="E50" s="3">
        <v>4</v>
      </c>
      <c r="F50" s="3">
        <v>3250.24</v>
      </c>
      <c r="G50" s="3">
        <v>0.56000000000000005</v>
      </c>
      <c r="H50" s="17" t="s">
        <v>433</v>
      </c>
      <c r="I50" s="3">
        <v>5720.42</v>
      </c>
      <c r="J50" s="4">
        <v>45804</v>
      </c>
      <c r="K50" s="3" t="s">
        <v>40</v>
      </c>
      <c r="L50" s="3" t="s">
        <v>16</v>
      </c>
      <c r="M50" s="5">
        <v>2269.54</v>
      </c>
    </row>
    <row r="51" spans="1:13">
      <c r="A51" s="6">
        <v>1329</v>
      </c>
      <c r="B51" s="6" t="s">
        <v>99</v>
      </c>
      <c r="C51" s="6" t="s">
        <v>34</v>
      </c>
      <c r="D51" s="6" t="s">
        <v>35</v>
      </c>
      <c r="E51" s="6">
        <v>1</v>
      </c>
      <c r="F51" s="6">
        <v>2587.7800000000002</v>
      </c>
      <c r="G51" s="3">
        <v>0</v>
      </c>
      <c r="H51" s="17" t="s">
        <v>432</v>
      </c>
      <c r="I51" s="6">
        <v>2587.7800000000002</v>
      </c>
      <c r="J51" s="7">
        <v>45285</v>
      </c>
      <c r="K51" s="6" t="s">
        <v>31</v>
      </c>
      <c r="L51" s="6" t="s">
        <v>32</v>
      </c>
      <c r="M51" s="8">
        <v>1667.02</v>
      </c>
    </row>
    <row r="52" spans="1:13">
      <c r="A52" s="3">
        <v>1334</v>
      </c>
      <c r="B52" s="3" t="s">
        <v>100</v>
      </c>
      <c r="C52" s="3" t="s">
        <v>29</v>
      </c>
      <c r="D52" s="3" t="s">
        <v>30</v>
      </c>
      <c r="E52" s="3">
        <v>6</v>
      </c>
      <c r="F52" s="3">
        <v>1454.69</v>
      </c>
      <c r="G52" s="3">
        <v>0</v>
      </c>
      <c r="H52" s="17" t="s">
        <v>432</v>
      </c>
      <c r="I52" s="3">
        <v>8728.14</v>
      </c>
      <c r="J52" s="4">
        <v>45814</v>
      </c>
      <c r="K52" s="3" t="s">
        <v>43</v>
      </c>
      <c r="L52" s="3" t="s">
        <v>27</v>
      </c>
      <c r="M52" s="5">
        <v>652.87</v>
      </c>
    </row>
    <row r="53" spans="1:13">
      <c r="A53" s="6">
        <v>1355</v>
      </c>
      <c r="B53" s="6" t="s">
        <v>101</v>
      </c>
      <c r="C53" s="6" t="s">
        <v>29</v>
      </c>
      <c r="D53" s="6" t="s">
        <v>48</v>
      </c>
      <c r="E53" s="6">
        <v>1</v>
      </c>
      <c r="F53" s="6">
        <v>1054.69</v>
      </c>
      <c r="G53" s="3">
        <v>0.18</v>
      </c>
      <c r="H53" s="17" t="s">
        <v>433</v>
      </c>
      <c r="I53" s="6">
        <v>864.85</v>
      </c>
      <c r="J53" s="7">
        <v>45585</v>
      </c>
      <c r="K53" s="6" t="s">
        <v>15</v>
      </c>
      <c r="L53" s="6" t="s">
        <v>16</v>
      </c>
      <c r="M53" s="8">
        <v>698.05</v>
      </c>
    </row>
    <row r="54" spans="1:13">
      <c r="A54" s="3">
        <v>1362</v>
      </c>
      <c r="B54" s="3" t="s">
        <v>102</v>
      </c>
      <c r="C54" s="3" t="s">
        <v>34</v>
      </c>
      <c r="D54" s="3" t="s">
        <v>85</v>
      </c>
      <c r="E54" s="3">
        <v>1</v>
      </c>
      <c r="F54" s="3">
        <v>4953.0200000000004</v>
      </c>
      <c r="G54" s="3">
        <v>0</v>
      </c>
      <c r="H54" s="17" t="s">
        <v>432</v>
      </c>
      <c r="I54" s="3">
        <v>4953.0200000000004</v>
      </c>
      <c r="J54" s="4">
        <v>45633</v>
      </c>
      <c r="K54" s="3" t="s">
        <v>24</v>
      </c>
      <c r="L54" s="3" t="s">
        <v>32</v>
      </c>
      <c r="M54" s="5">
        <v>-499.33</v>
      </c>
    </row>
    <row r="55" spans="1:13">
      <c r="A55" s="6">
        <v>1376</v>
      </c>
      <c r="B55" s="6" t="s">
        <v>103</v>
      </c>
      <c r="C55" s="6" t="s">
        <v>52</v>
      </c>
      <c r="D55" s="6" t="s">
        <v>53</v>
      </c>
      <c r="E55" s="6">
        <v>4</v>
      </c>
      <c r="F55" s="6">
        <v>1447.28</v>
      </c>
      <c r="G55" s="3">
        <v>0</v>
      </c>
      <c r="H55" s="17" t="s">
        <v>432</v>
      </c>
      <c r="I55" s="6">
        <v>5789.12</v>
      </c>
      <c r="J55" s="7">
        <v>45500</v>
      </c>
      <c r="K55" s="6" t="s">
        <v>31</v>
      </c>
      <c r="L55" s="6" t="s">
        <v>16</v>
      </c>
      <c r="M55" s="8">
        <v>175.33</v>
      </c>
    </row>
    <row r="56" spans="1:13">
      <c r="A56" s="3">
        <v>1383</v>
      </c>
      <c r="B56" s="3" t="s">
        <v>104</v>
      </c>
      <c r="C56" s="3" t="s">
        <v>29</v>
      </c>
      <c r="D56" s="3" t="s">
        <v>30</v>
      </c>
      <c r="E56" s="3">
        <v>5</v>
      </c>
      <c r="F56" s="3">
        <v>2409.13</v>
      </c>
      <c r="G56" s="3">
        <v>0</v>
      </c>
      <c r="H56" s="17" t="s">
        <v>432</v>
      </c>
      <c r="I56" s="3">
        <v>12045.65</v>
      </c>
      <c r="J56" s="4">
        <v>45841</v>
      </c>
      <c r="K56" s="3" t="s">
        <v>40</v>
      </c>
      <c r="L56" s="3" t="s">
        <v>32</v>
      </c>
      <c r="M56" s="5">
        <v>127.63</v>
      </c>
    </row>
    <row r="57" spans="1:13">
      <c r="A57" s="6">
        <v>1389</v>
      </c>
      <c r="B57" s="6" t="s">
        <v>105</v>
      </c>
      <c r="C57" s="6" t="s">
        <v>29</v>
      </c>
      <c r="D57" s="6" t="s">
        <v>78</v>
      </c>
      <c r="E57" s="6">
        <v>2</v>
      </c>
      <c r="F57" s="6">
        <v>2742.38</v>
      </c>
      <c r="G57" s="3">
        <v>0</v>
      </c>
      <c r="H57" s="17" t="s">
        <v>432</v>
      </c>
      <c r="I57" s="6">
        <v>5484.76</v>
      </c>
      <c r="J57" s="7">
        <v>45132</v>
      </c>
      <c r="K57" s="6" t="s">
        <v>24</v>
      </c>
      <c r="L57" s="6" t="s">
        <v>27</v>
      </c>
      <c r="M57" s="8">
        <v>1987.46</v>
      </c>
    </row>
    <row r="58" spans="1:13">
      <c r="A58" s="3">
        <v>1031</v>
      </c>
      <c r="B58" s="3" t="s">
        <v>106</v>
      </c>
      <c r="C58" s="3" t="s">
        <v>34</v>
      </c>
      <c r="D58" s="3" t="s">
        <v>85</v>
      </c>
      <c r="E58" s="3">
        <v>6</v>
      </c>
      <c r="F58" s="3">
        <v>3792.09</v>
      </c>
      <c r="G58" s="3">
        <v>0</v>
      </c>
      <c r="H58" s="17" t="s">
        <v>432</v>
      </c>
      <c r="I58" s="3">
        <v>22752.54</v>
      </c>
      <c r="J58" s="4">
        <v>45263</v>
      </c>
      <c r="K58" s="3" t="s">
        <v>20</v>
      </c>
      <c r="L58" s="3" t="s">
        <v>32</v>
      </c>
      <c r="M58" s="5">
        <v>194.31</v>
      </c>
    </row>
    <row r="59" spans="1:13">
      <c r="A59" s="6">
        <v>1465</v>
      </c>
      <c r="B59" s="6" t="s">
        <v>107</v>
      </c>
      <c r="C59" s="6" t="s">
        <v>52</v>
      </c>
      <c r="D59" s="6" t="s">
        <v>62</v>
      </c>
      <c r="E59" s="6">
        <v>2</v>
      </c>
      <c r="F59" s="6">
        <v>2215.4</v>
      </c>
      <c r="G59" s="3">
        <v>0.96</v>
      </c>
      <c r="H59" s="17" t="s">
        <v>433</v>
      </c>
      <c r="I59" s="6">
        <v>177.23</v>
      </c>
      <c r="J59" s="7">
        <v>45708</v>
      </c>
      <c r="K59" s="6" t="s">
        <v>31</v>
      </c>
      <c r="L59" s="6" t="s">
        <v>27</v>
      </c>
      <c r="M59" s="8">
        <v>-85.73</v>
      </c>
    </row>
    <row r="60" spans="1:13">
      <c r="A60" s="3">
        <v>1471</v>
      </c>
      <c r="B60" s="3" t="s">
        <v>108</v>
      </c>
      <c r="C60" s="3" t="s">
        <v>52</v>
      </c>
      <c r="D60" s="3" t="s">
        <v>62</v>
      </c>
      <c r="E60" s="3">
        <v>2</v>
      </c>
      <c r="F60" s="3">
        <v>4882.03</v>
      </c>
      <c r="G60" s="3">
        <v>0.23</v>
      </c>
      <c r="H60" s="17" t="s">
        <v>433</v>
      </c>
      <c r="I60" s="3">
        <v>7518.33</v>
      </c>
      <c r="J60" s="4">
        <v>45159</v>
      </c>
      <c r="K60" s="3" t="s">
        <v>31</v>
      </c>
      <c r="L60" s="3" t="s">
        <v>32</v>
      </c>
      <c r="M60" s="5">
        <v>-605.66999999999996</v>
      </c>
    </row>
    <row r="61" spans="1:13">
      <c r="A61" s="6">
        <v>1475</v>
      </c>
      <c r="B61" s="6" t="s">
        <v>109</v>
      </c>
      <c r="C61" s="6" t="s">
        <v>34</v>
      </c>
      <c r="D61" s="6" t="s">
        <v>110</v>
      </c>
      <c r="E61" s="6">
        <v>2</v>
      </c>
      <c r="F61" s="6">
        <v>3692.25</v>
      </c>
      <c r="G61" s="3">
        <v>0</v>
      </c>
      <c r="H61" s="17" t="s">
        <v>432</v>
      </c>
      <c r="I61" s="6">
        <v>7384.5</v>
      </c>
      <c r="J61" s="7">
        <v>45607</v>
      </c>
      <c r="K61" s="6" t="s">
        <v>15</v>
      </c>
      <c r="L61" s="6" t="s">
        <v>32</v>
      </c>
      <c r="M61" s="8">
        <v>433.87</v>
      </c>
    </row>
    <row r="62" spans="1:13">
      <c r="A62" s="3">
        <v>1484</v>
      </c>
      <c r="B62" s="3" t="s">
        <v>111</v>
      </c>
      <c r="C62" s="3" t="s">
        <v>13</v>
      </c>
      <c r="D62" s="3" t="s">
        <v>74</v>
      </c>
      <c r="E62" s="3">
        <v>2</v>
      </c>
      <c r="F62" s="3">
        <v>818.68</v>
      </c>
      <c r="G62" s="3">
        <v>0</v>
      </c>
      <c r="H62" s="17" t="s">
        <v>432</v>
      </c>
      <c r="I62" s="3">
        <v>1637.36</v>
      </c>
      <c r="J62" s="4">
        <v>45289</v>
      </c>
      <c r="K62" s="3" t="s">
        <v>15</v>
      </c>
      <c r="L62" s="3" t="s">
        <v>27</v>
      </c>
      <c r="M62" s="5">
        <v>2357.7399999999998</v>
      </c>
    </row>
    <row r="63" spans="1:13">
      <c r="A63" s="6">
        <v>1487</v>
      </c>
      <c r="B63" s="6" t="s">
        <v>112</v>
      </c>
      <c r="C63" s="6" t="s">
        <v>52</v>
      </c>
      <c r="D63" s="6" t="s">
        <v>72</v>
      </c>
      <c r="E63" s="6">
        <v>6</v>
      </c>
      <c r="F63" s="6">
        <v>1234.08</v>
      </c>
      <c r="G63" s="3">
        <v>0.71</v>
      </c>
      <c r="H63" s="17" t="s">
        <v>433</v>
      </c>
      <c r="I63" s="6">
        <v>2147.3000000000002</v>
      </c>
      <c r="J63" s="7">
        <v>45366</v>
      </c>
      <c r="K63" s="6" t="s">
        <v>43</v>
      </c>
      <c r="L63" s="6" t="s">
        <v>32</v>
      </c>
      <c r="M63" s="8">
        <v>-849.81</v>
      </c>
    </row>
    <row r="64" spans="1:13">
      <c r="A64" s="3">
        <v>1496</v>
      </c>
      <c r="B64" s="3" t="s">
        <v>113</v>
      </c>
      <c r="C64" s="3" t="s">
        <v>13</v>
      </c>
      <c r="D64" s="3" t="s">
        <v>94</v>
      </c>
      <c r="E64" s="3">
        <v>1</v>
      </c>
      <c r="F64" s="3">
        <v>4874.76</v>
      </c>
      <c r="G64" s="3">
        <v>0</v>
      </c>
      <c r="H64" s="17" t="s">
        <v>432</v>
      </c>
      <c r="I64" s="3">
        <v>4874.76</v>
      </c>
      <c r="J64" s="4">
        <v>45655</v>
      </c>
      <c r="K64" s="3" t="s">
        <v>24</v>
      </c>
      <c r="L64" s="3" t="s">
        <v>16</v>
      </c>
      <c r="M64" s="5">
        <v>2438.13</v>
      </c>
    </row>
    <row r="65" spans="1:13">
      <c r="A65" s="6">
        <v>1498</v>
      </c>
      <c r="B65" s="6" t="s">
        <v>114</v>
      </c>
      <c r="C65" s="6" t="s">
        <v>22</v>
      </c>
      <c r="D65" s="6" t="s">
        <v>26</v>
      </c>
      <c r="E65" s="6">
        <v>6</v>
      </c>
      <c r="F65" s="6">
        <v>3771.67</v>
      </c>
      <c r="G65" s="3">
        <v>0</v>
      </c>
      <c r="H65" s="17" t="s">
        <v>432</v>
      </c>
      <c r="I65" s="6">
        <v>22630.02</v>
      </c>
      <c r="J65" s="7">
        <v>45566</v>
      </c>
      <c r="K65" s="6" t="s">
        <v>15</v>
      </c>
      <c r="L65" s="6" t="s">
        <v>32</v>
      </c>
      <c r="M65" s="8">
        <v>2442.42</v>
      </c>
    </row>
    <row r="66" spans="1:13">
      <c r="A66" s="3">
        <v>1503</v>
      </c>
      <c r="B66" s="3" t="s">
        <v>115</v>
      </c>
      <c r="C66" s="3" t="s">
        <v>34</v>
      </c>
      <c r="D66" s="3" t="s">
        <v>110</v>
      </c>
      <c r="E66" s="3">
        <v>2</v>
      </c>
      <c r="F66" s="3">
        <v>4621.79</v>
      </c>
      <c r="G66" s="3">
        <v>0.32</v>
      </c>
      <c r="H66" s="17" t="s">
        <v>433</v>
      </c>
      <c r="I66" s="3">
        <v>6285.63</v>
      </c>
      <c r="J66" s="4">
        <v>45795</v>
      </c>
      <c r="K66" s="3" t="s">
        <v>43</v>
      </c>
      <c r="L66" s="3" t="s">
        <v>32</v>
      </c>
      <c r="M66" s="5">
        <v>1350.48</v>
      </c>
    </row>
    <row r="67" spans="1:13">
      <c r="A67" s="6">
        <v>1504</v>
      </c>
      <c r="B67" s="6" t="s">
        <v>116</v>
      </c>
      <c r="C67" s="6" t="s">
        <v>18</v>
      </c>
      <c r="D67" s="6" t="s">
        <v>19</v>
      </c>
      <c r="E67" s="6">
        <v>2</v>
      </c>
      <c r="F67" s="6">
        <v>2558.4299999999998</v>
      </c>
      <c r="G67" s="3">
        <v>0</v>
      </c>
      <c r="H67" s="17" t="s">
        <v>432</v>
      </c>
      <c r="I67" s="6">
        <v>5116.8599999999997</v>
      </c>
      <c r="J67" s="7">
        <v>45604</v>
      </c>
      <c r="K67" s="6" t="s">
        <v>20</v>
      </c>
      <c r="L67" s="6" t="s">
        <v>16</v>
      </c>
      <c r="M67" s="8">
        <v>-360.49</v>
      </c>
    </row>
    <row r="68" spans="1:13">
      <c r="A68" s="3">
        <v>1515</v>
      </c>
      <c r="B68" s="3" t="s">
        <v>117</v>
      </c>
      <c r="C68" s="3" t="s">
        <v>52</v>
      </c>
      <c r="D68" s="3" t="s">
        <v>72</v>
      </c>
      <c r="E68" s="3">
        <v>3</v>
      </c>
      <c r="F68" s="3">
        <v>4596.03</v>
      </c>
      <c r="G68" s="3">
        <v>0</v>
      </c>
      <c r="H68" s="17" t="s">
        <v>432</v>
      </c>
      <c r="I68" s="3">
        <v>13788.09</v>
      </c>
      <c r="J68" s="4">
        <v>45839</v>
      </c>
      <c r="K68" s="3" t="s">
        <v>43</v>
      </c>
      <c r="L68" s="3" t="s">
        <v>27</v>
      </c>
      <c r="M68" s="5">
        <v>-866.29</v>
      </c>
    </row>
    <row r="69" spans="1:13">
      <c r="A69" s="6">
        <v>1519</v>
      </c>
      <c r="B69" s="6" t="s">
        <v>118</v>
      </c>
      <c r="C69" s="6" t="s">
        <v>52</v>
      </c>
      <c r="D69" s="6" t="s">
        <v>62</v>
      </c>
      <c r="E69" s="6">
        <v>1</v>
      </c>
      <c r="F69" s="6">
        <v>3762.86</v>
      </c>
      <c r="G69" s="3">
        <v>0</v>
      </c>
      <c r="H69" s="17" t="s">
        <v>432</v>
      </c>
      <c r="I69" s="6">
        <v>3762.86</v>
      </c>
      <c r="J69" s="7">
        <v>45582</v>
      </c>
      <c r="K69" s="6" t="s">
        <v>15</v>
      </c>
      <c r="L69" s="6" t="s">
        <v>16</v>
      </c>
      <c r="M69" s="8">
        <v>2567.73</v>
      </c>
    </row>
    <row r="70" spans="1:13">
      <c r="A70" s="3">
        <v>1525</v>
      </c>
      <c r="B70" s="3" t="s">
        <v>119</v>
      </c>
      <c r="C70" s="3" t="s">
        <v>52</v>
      </c>
      <c r="D70" s="3" t="s">
        <v>69</v>
      </c>
      <c r="E70" s="3">
        <v>5</v>
      </c>
      <c r="F70" s="3">
        <v>4591.26</v>
      </c>
      <c r="G70" s="3">
        <v>0</v>
      </c>
      <c r="H70" s="17" t="s">
        <v>432</v>
      </c>
      <c r="I70" s="3">
        <v>22956.3</v>
      </c>
      <c r="J70" s="4">
        <v>45660</v>
      </c>
      <c r="K70" s="3" t="s">
        <v>31</v>
      </c>
      <c r="L70" s="3" t="s">
        <v>16</v>
      </c>
      <c r="M70" s="5">
        <v>-602.79999999999995</v>
      </c>
    </row>
    <row r="71" spans="1:13">
      <c r="A71" s="6">
        <v>1526</v>
      </c>
      <c r="B71" s="6" t="s">
        <v>120</v>
      </c>
      <c r="C71" s="6" t="s">
        <v>18</v>
      </c>
      <c r="D71" s="6" t="s">
        <v>57</v>
      </c>
      <c r="E71" s="6">
        <v>2</v>
      </c>
      <c r="F71" s="6">
        <v>1884.25</v>
      </c>
      <c r="G71" s="3">
        <v>0</v>
      </c>
      <c r="H71" s="17" t="s">
        <v>432</v>
      </c>
      <c r="I71" s="6">
        <v>3768.5</v>
      </c>
      <c r="J71" s="7">
        <v>45576</v>
      </c>
      <c r="K71" s="6" t="s">
        <v>20</v>
      </c>
      <c r="L71" s="6" t="s">
        <v>27</v>
      </c>
      <c r="M71" s="8">
        <v>1177.57</v>
      </c>
    </row>
    <row r="72" spans="1:13">
      <c r="A72" s="3">
        <v>1570</v>
      </c>
      <c r="B72" s="3" t="s">
        <v>121</v>
      </c>
      <c r="C72" s="3" t="s">
        <v>13</v>
      </c>
      <c r="D72" s="3" t="s">
        <v>67</v>
      </c>
      <c r="E72" s="3">
        <v>1</v>
      </c>
      <c r="F72" s="3">
        <v>4774.7700000000004</v>
      </c>
      <c r="G72" s="3">
        <v>0.96</v>
      </c>
      <c r="H72" s="17" t="s">
        <v>433</v>
      </c>
      <c r="I72" s="3">
        <v>190.99</v>
      </c>
      <c r="J72" s="4">
        <v>45755</v>
      </c>
      <c r="K72" s="3" t="s">
        <v>15</v>
      </c>
      <c r="L72" s="3" t="s">
        <v>32</v>
      </c>
      <c r="M72" s="5">
        <v>-146.16999999999999</v>
      </c>
    </row>
    <row r="73" spans="1:13">
      <c r="A73" s="6">
        <v>1576</v>
      </c>
      <c r="B73" s="6" t="s">
        <v>122</v>
      </c>
      <c r="C73" s="6" t="s">
        <v>13</v>
      </c>
      <c r="D73" s="6" t="s">
        <v>94</v>
      </c>
      <c r="E73" s="6">
        <v>1</v>
      </c>
      <c r="F73" s="6">
        <v>1882.14</v>
      </c>
      <c r="G73" s="3">
        <v>0.6</v>
      </c>
      <c r="H73" s="17" t="s">
        <v>433</v>
      </c>
      <c r="I73" s="6">
        <v>752.86</v>
      </c>
      <c r="J73" s="7">
        <v>45662</v>
      </c>
      <c r="K73" s="6" t="s">
        <v>24</v>
      </c>
      <c r="L73" s="6" t="s">
        <v>16</v>
      </c>
      <c r="M73" s="8">
        <v>2554.79</v>
      </c>
    </row>
    <row r="74" spans="1:13">
      <c r="A74" s="3">
        <v>1582</v>
      </c>
      <c r="B74" s="3" t="s">
        <v>123</v>
      </c>
      <c r="C74" s="3" t="s">
        <v>22</v>
      </c>
      <c r="D74" s="3" t="s">
        <v>39</v>
      </c>
      <c r="E74" s="3">
        <v>1</v>
      </c>
      <c r="F74" s="3">
        <v>4809.8999999999996</v>
      </c>
      <c r="G74" s="3">
        <v>0.92</v>
      </c>
      <c r="H74" s="17" t="s">
        <v>433</v>
      </c>
      <c r="I74" s="3">
        <v>384.79</v>
      </c>
      <c r="J74" s="4">
        <v>45563</v>
      </c>
      <c r="K74" s="3" t="s">
        <v>15</v>
      </c>
      <c r="L74" s="3" t="s">
        <v>27</v>
      </c>
      <c r="M74" s="5">
        <v>-356.01</v>
      </c>
    </row>
    <row r="75" spans="1:13">
      <c r="A75" s="6">
        <v>1585</v>
      </c>
      <c r="B75" s="6" t="s">
        <v>124</v>
      </c>
      <c r="C75" s="6" t="s">
        <v>18</v>
      </c>
      <c r="D75" s="6" t="s">
        <v>57</v>
      </c>
      <c r="E75" s="6">
        <v>2</v>
      </c>
      <c r="F75" s="6">
        <v>2738.72</v>
      </c>
      <c r="G75" s="3">
        <v>0.89</v>
      </c>
      <c r="H75" s="17" t="s">
        <v>433</v>
      </c>
      <c r="I75" s="6">
        <v>602.52</v>
      </c>
      <c r="J75" s="7">
        <v>45607</v>
      </c>
      <c r="K75" s="6" t="s">
        <v>43</v>
      </c>
      <c r="L75" s="6" t="s">
        <v>27</v>
      </c>
      <c r="M75" s="8">
        <v>-709.13</v>
      </c>
    </row>
    <row r="76" spans="1:13">
      <c r="A76" s="3">
        <v>1596</v>
      </c>
      <c r="B76" s="3" t="s">
        <v>125</v>
      </c>
      <c r="C76" s="3" t="s">
        <v>13</v>
      </c>
      <c r="D76" s="3" t="s">
        <v>14</v>
      </c>
      <c r="E76" s="3">
        <v>3</v>
      </c>
      <c r="F76" s="3">
        <v>738.29</v>
      </c>
      <c r="G76" s="3">
        <v>0</v>
      </c>
      <c r="H76" s="17" t="s">
        <v>432</v>
      </c>
      <c r="I76" s="3">
        <v>2214.87</v>
      </c>
      <c r="J76" s="4">
        <v>45558</v>
      </c>
      <c r="K76" s="3" t="s">
        <v>24</v>
      </c>
      <c r="L76" s="3" t="s">
        <v>16</v>
      </c>
      <c r="M76" s="5">
        <v>-871.38</v>
      </c>
    </row>
    <row r="77" spans="1:13">
      <c r="A77" s="6">
        <v>1597</v>
      </c>
      <c r="B77" s="6" t="s">
        <v>126</v>
      </c>
      <c r="C77" s="6" t="s">
        <v>34</v>
      </c>
      <c r="D77" s="6" t="s">
        <v>37</v>
      </c>
      <c r="E77" s="6">
        <v>1</v>
      </c>
      <c r="F77" s="6">
        <v>657.51</v>
      </c>
      <c r="G77" s="3">
        <v>0.77</v>
      </c>
      <c r="H77" s="17" t="s">
        <v>433</v>
      </c>
      <c r="I77" s="6">
        <v>151.22999999999999</v>
      </c>
      <c r="J77" s="7">
        <v>45508</v>
      </c>
      <c r="K77" s="6" t="s">
        <v>43</v>
      </c>
      <c r="L77" s="6" t="s">
        <v>32</v>
      </c>
      <c r="M77" s="8">
        <v>2744.32</v>
      </c>
    </row>
    <row r="78" spans="1:13">
      <c r="A78" s="3">
        <v>1608</v>
      </c>
      <c r="B78" s="3" t="s">
        <v>127</v>
      </c>
      <c r="C78" s="3" t="s">
        <v>18</v>
      </c>
      <c r="D78" s="3" t="s">
        <v>42</v>
      </c>
      <c r="E78" s="3">
        <v>3</v>
      </c>
      <c r="F78" s="3">
        <v>3536.61</v>
      </c>
      <c r="G78" s="3">
        <v>0.79</v>
      </c>
      <c r="H78" s="17" t="s">
        <v>433</v>
      </c>
      <c r="I78" s="3">
        <v>2228.06</v>
      </c>
      <c r="J78" s="4">
        <v>45708</v>
      </c>
      <c r="K78" s="3" t="s">
        <v>15</v>
      </c>
      <c r="L78" s="3" t="s">
        <v>32</v>
      </c>
      <c r="M78" s="5">
        <v>-55.01</v>
      </c>
    </row>
    <row r="79" spans="1:13">
      <c r="A79" s="6">
        <v>1612</v>
      </c>
      <c r="B79" s="6" t="s">
        <v>128</v>
      </c>
      <c r="C79" s="6" t="s">
        <v>13</v>
      </c>
      <c r="D79" s="6" t="s">
        <v>14</v>
      </c>
      <c r="E79" s="6">
        <v>5</v>
      </c>
      <c r="F79" s="6">
        <v>1010.24</v>
      </c>
      <c r="G79" s="3">
        <v>0</v>
      </c>
      <c r="H79" s="17" t="s">
        <v>432</v>
      </c>
      <c r="I79" s="6">
        <v>5051.2</v>
      </c>
      <c r="J79" s="7">
        <v>45714</v>
      </c>
      <c r="K79" s="6" t="s">
        <v>40</v>
      </c>
      <c r="L79" s="6" t="s">
        <v>27</v>
      </c>
      <c r="M79" s="8">
        <v>2174.98</v>
      </c>
    </row>
    <row r="80" spans="1:13">
      <c r="A80" s="3">
        <v>1613</v>
      </c>
      <c r="B80" s="3" t="s">
        <v>129</v>
      </c>
      <c r="C80" s="3" t="s">
        <v>52</v>
      </c>
      <c r="D80" s="3" t="s">
        <v>69</v>
      </c>
      <c r="E80" s="3">
        <v>1</v>
      </c>
      <c r="F80" s="3">
        <v>1575.26</v>
      </c>
      <c r="G80" s="3">
        <v>0</v>
      </c>
      <c r="H80" s="17" t="s">
        <v>432</v>
      </c>
      <c r="I80" s="3">
        <v>1575.26</v>
      </c>
      <c r="J80" s="4">
        <v>45665</v>
      </c>
      <c r="K80" s="3" t="s">
        <v>43</v>
      </c>
      <c r="L80" s="3" t="s">
        <v>32</v>
      </c>
      <c r="M80" s="5">
        <v>-641.72</v>
      </c>
    </row>
    <row r="81" spans="1:13">
      <c r="A81" s="6">
        <v>1615</v>
      </c>
      <c r="B81" s="6" t="s">
        <v>130</v>
      </c>
      <c r="C81" s="6" t="s">
        <v>29</v>
      </c>
      <c r="D81" s="6" t="s">
        <v>83</v>
      </c>
      <c r="E81" s="6">
        <v>6</v>
      </c>
      <c r="F81" s="6">
        <v>4962.7</v>
      </c>
      <c r="G81" s="3">
        <v>0.02</v>
      </c>
      <c r="H81" s="17" t="s">
        <v>433</v>
      </c>
      <c r="I81" s="6">
        <v>29180.68</v>
      </c>
      <c r="J81" s="7">
        <v>45142</v>
      </c>
      <c r="K81" s="6" t="s">
        <v>31</v>
      </c>
      <c r="L81" s="6" t="s">
        <v>32</v>
      </c>
      <c r="M81" s="8">
        <v>61.6</v>
      </c>
    </row>
    <row r="82" spans="1:13">
      <c r="A82" s="3">
        <v>1621</v>
      </c>
      <c r="B82" s="3" t="s">
        <v>131</v>
      </c>
      <c r="C82" s="3" t="s">
        <v>34</v>
      </c>
      <c r="D82" s="3" t="s">
        <v>85</v>
      </c>
      <c r="E82" s="3">
        <v>6</v>
      </c>
      <c r="F82" s="3">
        <v>639.66999999999996</v>
      </c>
      <c r="G82" s="3">
        <v>0</v>
      </c>
      <c r="H82" s="17" t="s">
        <v>432</v>
      </c>
      <c r="I82" s="3">
        <v>3838.02</v>
      </c>
      <c r="J82" s="4">
        <v>45563</v>
      </c>
      <c r="K82" s="3" t="s">
        <v>31</v>
      </c>
      <c r="L82" s="3" t="s">
        <v>16</v>
      </c>
      <c r="M82" s="5">
        <v>1599.1</v>
      </c>
    </row>
    <row r="83" spans="1:13">
      <c r="A83" s="6">
        <v>1004</v>
      </c>
      <c r="B83" s="6" t="s">
        <v>132</v>
      </c>
      <c r="C83" s="6" t="s">
        <v>22</v>
      </c>
      <c r="D83" s="6" t="s">
        <v>64</v>
      </c>
      <c r="E83" s="6">
        <v>6</v>
      </c>
      <c r="F83" s="6">
        <v>987.35</v>
      </c>
      <c r="G83" s="3">
        <v>0</v>
      </c>
      <c r="H83" s="17" t="s">
        <v>432</v>
      </c>
      <c r="I83" s="6">
        <v>5924.1</v>
      </c>
      <c r="J83" s="7">
        <v>45692</v>
      </c>
      <c r="K83" s="6" t="s">
        <v>15</v>
      </c>
      <c r="L83" s="6" t="s">
        <v>16</v>
      </c>
      <c r="M83" s="8">
        <v>-108.36</v>
      </c>
    </row>
    <row r="84" spans="1:13">
      <c r="A84" s="3">
        <v>1628</v>
      </c>
      <c r="B84" s="3" t="s">
        <v>133</v>
      </c>
      <c r="C84" s="3" t="s">
        <v>29</v>
      </c>
      <c r="D84" s="3" t="s">
        <v>48</v>
      </c>
      <c r="E84" s="3">
        <v>1</v>
      </c>
      <c r="F84" s="3">
        <v>3345.58</v>
      </c>
      <c r="G84" s="3">
        <v>0.26</v>
      </c>
      <c r="H84" s="17" t="s">
        <v>433</v>
      </c>
      <c r="I84" s="3">
        <v>2475.73</v>
      </c>
      <c r="J84" s="4">
        <v>45397</v>
      </c>
      <c r="K84" s="3" t="s">
        <v>31</v>
      </c>
      <c r="L84" s="3" t="s">
        <v>27</v>
      </c>
      <c r="M84" s="5">
        <v>2274.54</v>
      </c>
    </row>
    <row r="85" spans="1:13">
      <c r="A85" s="6">
        <v>1645</v>
      </c>
      <c r="B85" s="6" t="s">
        <v>134</v>
      </c>
      <c r="C85" s="6" t="s">
        <v>34</v>
      </c>
      <c r="D85" s="6" t="s">
        <v>85</v>
      </c>
      <c r="E85" s="6">
        <v>2</v>
      </c>
      <c r="F85" s="6">
        <v>2660.45</v>
      </c>
      <c r="G85" s="3">
        <v>0.22</v>
      </c>
      <c r="H85" s="17" t="s">
        <v>433</v>
      </c>
      <c r="I85" s="6">
        <v>4150.3</v>
      </c>
      <c r="J85" s="7">
        <v>45207</v>
      </c>
      <c r="K85" s="6" t="s">
        <v>20</v>
      </c>
      <c r="L85" s="6" t="s">
        <v>16</v>
      </c>
      <c r="M85" s="8">
        <v>-825.82</v>
      </c>
    </row>
    <row r="86" spans="1:13">
      <c r="A86" s="3">
        <v>1655</v>
      </c>
      <c r="B86" s="3" t="s">
        <v>135</v>
      </c>
      <c r="C86" s="3" t="s">
        <v>22</v>
      </c>
      <c r="D86" s="3" t="s">
        <v>23</v>
      </c>
      <c r="E86" s="3">
        <v>5</v>
      </c>
      <c r="F86" s="3">
        <v>1385.86</v>
      </c>
      <c r="G86" s="3">
        <v>0.71</v>
      </c>
      <c r="H86" s="17" t="s">
        <v>433</v>
      </c>
      <c r="I86" s="3">
        <v>2009.5</v>
      </c>
      <c r="J86" s="4">
        <v>45809</v>
      </c>
      <c r="K86" s="3" t="s">
        <v>15</v>
      </c>
      <c r="L86" s="3" t="s">
        <v>32</v>
      </c>
      <c r="M86" s="5">
        <v>1839.94</v>
      </c>
    </row>
    <row r="87" spans="1:13">
      <c r="A87" s="6">
        <v>1048</v>
      </c>
      <c r="B87" s="6" t="s">
        <v>136</v>
      </c>
      <c r="C87" s="6" t="s">
        <v>52</v>
      </c>
      <c r="D87" s="6" t="s">
        <v>69</v>
      </c>
      <c r="E87" s="6">
        <v>4</v>
      </c>
      <c r="F87" s="6">
        <v>1429.93</v>
      </c>
      <c r="G87" s="3">
        <v>0</v>
      </c>
      <c r="H87" s="17" t="s">
        <v>432</v>
      </c>
      <c r="I87" s="6">
        <v>5719.72</v>
      </c>
      <c r="J87" s="7">
        <v>45610</v>
      </c>
      <c r="K87" s="6" t="s">
        <v>24</v>
      </c>
      <c r="L87" s="6" t="s">
        <v>16</v>
      </c>
      <c r="M87" s="8">
        <v>1844.84</v>
      </c>
    </row>
    <row r="88" spans="1:13">
      <c r="A88" s="3">
        <v>1679</v>
      </c>
      <c r="B88" s="3" t="s">
        <v>137</v>
      </c>
      <c r="C88" s="3" t="s">
        <v>34</v>
      </c>
      <c r="D88" s="3" t="s">
        <v>85</v>
      </c>
      <c r="E88" s="3">
        <v>1</v>
      </c>
      <c r="F88" s="3">
        <v>4198.5</v>
      </c>
      <c r="G88" s="3">
        <v>0</v>
      </c>
      <c r="H88" s="17" t="s">
        <v>432</v>
      </c>
      <c r="I88" s="3">
        <v>4198.5</v>
      </c>
      <c r="J88" s="4">
        <v>45494</v>
      </c>
      <c r="K88" s="3" t="s">
        <v>40</v>
      </c>
      <c r="L88" s="3" t="s">
        <v>27</v>
      </c>
      <c r="M88" s="5">
        <v>2518.86</v>
      </c>
    </row>
    <row r="89" spans="1:13">
      <c r="A89" s="6">
        <v>1684</v>
      </c>
      <c r="B89" s="6" t="s">
        <v>138</v>
      </c>
      <c r="C89" s="6" t="s">
        <v>29</v>
      </c>
      <c r="D89" s="6" t="s">
        <v>30</v>
      </c>
      <c r="E89" s="6">
        <v>2</v>
      </c>
      <c r="F89" s="6">
        <v>3537.97</v>
      </c>
      <c r="G89" s="3">
        <v>0.26</v>
      </c>
      <c r="H89" s="17" t="s">
        <v>433</v>
      </c>
      <c r="I89" s="6">
        <v>5236.2</v>
      </c>
      <c r="J89" s="7">
        <v>45509</v>
      </c>
      <c r="K89" s="6" t="s">
        <v>20</v>
      </c>
      <c r="L89" s="6" t="s">
        <v>27</v>
      </c>
      <c r="M89" s="8">
        <v>1385.75</v>
      </c>
    </row>
    <row r="90" spans="1:13">
      <c r="A90" s="3">
        <v>1690</v>
      </c>
      <c r="B90" s="3" t="s">
        <v>139</v>
      </c>
      <c r="C90" s="3" t="s">
        <v>13</v>
      </c>
      <c r="D90" s="3" t="s">
        <v>14</v>
      </c>
      <c r="E90" s="3">
        <v>5</v>
      </c>
      <c r="F90" s="3">
        <v>1941.39</v>
      </c>
      <c r="G90" s="3">
        <v>0.54</v>
      </c>
      <c r="H90" s="17" t="s">
        <v>433</v>
      </c>
      <c r="I90" s="3">
        <v>4465.2</v>
      </c>
      <c r="J90" s="4">
        <v>45720</v>
      </c>
      <c r="K90" s="3" t="s">
        <v>43</v>
      </c>
      <c r="L90" s="3" t="s">
        <v>32</v>
      </c>
      <c r="M90" s="5">
        <v>206.95</v>
      </c>
    </row>
    <row r="91" spans="1:13">
      <c r="A91" s="6">
        <v>1691</v>
      </c>
      <c r="B91" s="6" t="s">
        <v>140</v>
      </c>
      <c r="C91" s="6" t="s">
        <v>18</v>
      </c>
      <c r="D91" s="6" t="s">
        <v>46</v>
      </c>
      <c r="E91" s="6">
        <v>6</v>
      </c>
      <c r="F91" s="6">
        <v>2878.51</v>
      </c>
      <c r="G91" s="3">
        <v>0</v>
      </c>
      <c r="H91" s="17" t="s">
        <v>432</v>
      </c>
      <c r="I91" s="6">
        <v>17271.060000000001</v>
      </c>
      <c r="J91" s="7">
        <v>45765</v>
      </c>
      <c r="K91" s="6" t="s">
        <v>15</v>
      </c>
      <c r="L91" s="6" t="s">
        <v>27</v>
      </c>
      <c r="M91" s="8">
        <v>2503.5100000000002</v>
      </c>
    </row>
    <row r="92" spans="1:13">
      <c r="A92" s="3">
        <v>1697</v>
      </c>
      <c r="B92" s="3" t="s">
        <v>141</v>
      </c>
      <c r="C92" s="3" t="s">
        <v>52</v>
      </c>
      <c r="D92" s="3" t="s">
        <v>62</v>
      </c>
      <c r="E92" s="3">
        <v>2</v>
      </c>
      <c r="F92" s="3">
        <v>1758.97</v>
      </c>
      <c r="G92" s="3">
        <v>0</v>
      </c>
      <c r="H92" s="17" t="s">
        <v>432</v>
      </c>
      <c r="I92" s="3">
        <v>3517.94</v>
      </c>
      <c r="J92" s="4">
        <v>45700</v>
      </c>
      <c r="K92" s="3" t="s">
        <v>43</v>
      </c>
      <c r="L92" s="3" t="s">
        <v>27</v>
      </c>
      <c r="M92" s="5">
        <v>2026.97</v>
      </c>
    </row>
    <row r="93" spans="1:13">
      <c r="A93" s="6">
        <v>1699</v>
      </c>
      <c r="B93" s="6" t="s">
        <v>142</v>
      </c>
      <c r="C93" s="6" t="s">
        <v>18</v>
      </c>
      <c r="D93" s="6" t="s">
        <v>57</v>
      </c>
      <c r="E93" s="6">
        <v>6</v>
      </c>
      <c r="F93" s="6">
        <v>701.16</v>
      </c>
      <c r="G93" s="3">
        <v>0</v>
      </c>
      <c r="H93" s="17" t="s">
        <v>432</v>
      </c>
      <c r="I93" s="6">
        <v>4206.96</v>
      </c>
      <c r="J93" s="7">
        <v>45697</v>
      </c>
      <c r="K93" s="6" t="s">
        <v>43</v>
      </c>
      <c r="L93" s="6" t="s">
        <v>32</v>
      </c>
      <c r="M93" s="8">
        <v>2632.17</v>
      </c>
    </row>
    <row r="94" spans="1:13">
      <c r="A94" s="3">
        <v>1705</v>
      </c>
      <c r="B94" s="3" t="s">
        <v>143</v>
      </c>
      <c r="C94" s="3" t="s">
        <v>18</v>
      </c>
      <c r="D94" s="3" t="s">
        <v>57</v>
      </c>
      <c r="E94" s="3">
        <v>2</v>
      </c>
      <c r="F94" s="3">
        <v>4170.76</v>
      </c>
      <c r="G94" s="3">
        <v>0</v>
      </c>
      <c r="H94" s="17" t="s">
        <v>432</v>
      </c>
      <c r="I94" s="3">
        <v>8341.52</v>
      </c>
      <c r="J94" s="4">
        <v>45789</v>
      </c>
      <c r="K94" s="3" t="s">
        <v>20</v>
      </c>
      <c r="L94" s="3" t="s">
        <v>27</v>
      </c>
      <c r="M94" s="5">
        <v>826.76</v>
      </c>
    </row>
    <row r="95" spans="1:13">
      <c r="A95" s="6">
        <v>1709</v>
      </c>
      <c r="B95" s="6" t="s">
        <v>144</v>
      </c>
      <c r="C95" s="6" t="s">
        <v>13</v>
      </c>
      <c r="D95" s="6" t="s">
        <v>94</v>
      </c>
      <c r="E95" s="6">
        <v>5</v>
      </c>
      <c r="F95" s="6">
        <v>1717.79</v>
      </c>
      <c r="G95" s="3">
        <v>0</v>
      </c>
      <c r="H95" s="17" t="s">
        <v>432</v>
      </c>
      <c r="I95" s="6">
        <v>8588.9500000000007</v>
      </c>
      <c r="J95" s="7">
        <v>45563</v>
      </c>
      <c r="K95" s="6" t="s">
        <v>24</v>
      </c>
      <c r="L95" s="6" t="s">
        <v>16</v>
      </c>
      <c r="M95" s="8">
        <v>2264.16</v>
      </c>
    </row>
    <row r="96" spans="1:13">
      <c r="A96" s="3">
        <v>1712</v>
      </c>
      <c r="B96" s="3" t="s">
        <v>145</v>
      </c>
      <c r="C96" s="3" t="s">
        <v>52</v>
      </c>
      <c r="D96" s="3" t="s">
        <v>62</v>
      </c>
      <c r="E96" s="3">
        <v>1</v>
      </c>
      <c r="F96" s="3">
        <v>2386.58</v>
      </c>
      <c r="G96" s="3">
        <v>0</v>
      </c>
      <c r="H96" s="17" t="s">
        <v>432</v>
      </c>
      <c r="I96" s="3">
        <v>2386.58</v>
      </c>
      <c r="J96" s="4">
        <v>45518</v>
      </c>
      <c r="K96" s="3" t="s">
        <v>40</v>
      </c>
      <c r="L96" s="3" t="s">
        <v>16</v>
      </c>
      <c r="M96" s="5">
        <v>1879.59</v>
      </c>
    </row>
    <row r="97" spans="1:13">
      <c r="A97" s="6">
        <v>1717</v>
      </c>
      <c r="B97" s="6" t="s">
        <v>146</v>
      </c>
      <c r="C97" s="6" t="s">
        <v>34</v>
      </c>
      <c r="D97" s="6" t="s">
        <v>37</v>
      </c>
      <c r="E97" s="6">
        <v>4</v>
      </c>
      <c r="F97" s="6">
        <v>1279.2</v>
      </c>
      <c r="G97" s="3">
        <v>0.27</v>
      </c>
      <c r="H97" s="17" t="s">
        <v>433</v>
      </c>
      <c r="I97" s="6">
        <v>3735.26</v>
      </c>
      <c r="J97" s="7">
        <v>45611</v>
      </c>
      <c r="K97" s="6" t="s">
        <v>43</v>
      </c>
      <c r="L97" s="6" t="s">
        <v>32</v>
      </c>
      <c r="M97" s="8">
        <v>453.7</v>
      </c>
    </row>
    <row r="98" spans="1:13">
      <c r="A98" s="3">
        <v>1718</v>
      </c>
      <c r="B98" s="3" t="s">
        <v>147</v>
      </c>
      <c r="C98" s="3" t="s">
        <v>13</v>
      </c>
      <c r="D98" s="3" t="s">
        <v>94</v>
      </c>
      <c r="E98" s="3">
        <v>5</v>
      </c>
      <c r="F98" s="3">
        <v>3988.99</v>
      </c>
      <c r="G98" s="3">
        <v>0</v>
      </c>
      <c r="H98" s="17" t="s">
        <v>432</v>
      </c>
      <c r="I98" s="3">
        <v>19944.95</v>
      </c>
      <c r="J98" s="4">
        <v>45802</v>
      </c>
      <c r="K98" s="3" t="s">
        <v>31</v>
      </c>
      <c r="L98" s="3" t="s">
        <v>32</v>
      </c>
      <c r="M98" s="5">
        <v>1430.08</v>
      </c>
    </row>
    <row r="99" spans="1:13">
      <c r="A99" s="6">
        <v>1719</v>
      </c>
      <c r="B99" s="6" t="s">
        <v>148</v>
      </c>
      <c r="C99" s="6" t="s">
        <v>22</v>
      </c>
      <c r="D99" s="6" t="s">
        <v>23</v>
      </c>
      <c r="E99" s="6">
        <v>3</v>
      </c>
      <c r="F99" s="6">
        <v>4407.79</v>
      </c>
      <c r="G99" s="3">
        <v>0.64</v>
      </c>
      <c r="H99" s="17" t="s">
        <v>433</v>
      </c>
      <c r="I99" s="6">
        <v>4760.41</v>
      </c>
      <c r="J99" s="7">
        <v>45731</v>
      </c>
      <c r="K99" s="6" t="s">
        <v>43</v>
      </c>
      <c r="L99" s="6" t="s">
        <v>16</v>
      </c>
      <c r="M99" s="8">
        <v>1150.06</v>
      </c>
    </row>
    <row r="100" spans="1:13">
      <c r="A100" s="3">
        <v>1720</v>
      </c>
      <c r="B100" s="3" t="s">
        <v>149</v>
      </c>
      <c r="C100" s="3" t="s">
        <v>13</v>
      </c>
      <c r="D100" s="3" t="s">
        <v>67</v>
      </c>
      <c r="E100" s="3">
        <v>3</v>
      </c>
      <c r="F100" s="3">
        <v>3667.54</v>
      </c>
      <c r="G100" s="3">
        <v>0.56999999999999995</v>
      </c>
      <c r="H100" s="17" t="s">
        <v>433</v>
      </c>
      <c r="I100" s="3">
        <v>4731.13</v>
      </c>
      <c r="J100" s="4">
        <v>45138</v>
      </c>
      <c r="K100" s="3" t="s">
        <v>24</v>
      </c>
      <c r="L100" s="3" t="s">
        <v>16</v>
      </c>
      <c r="M100" s="5">
        <v>459.43</v>
      </c>
    </row>
    <row r="101" spans="1:13">
      <c r="A101" s="6">
        <v>1725</v>
      </c>
      <c r="B101" s="6" t="s">
        <v>150</v>
      </c>
      <c r="C101" s="6" t="s">
        <v>29</v>
      </c>
      <c r="D101" s="6" t="s">
        <v>30</v>
      </c>
      <c r="E101" s="6">
        <v>3</v>
      </c>
      <c r="F101" s="6">
        <v>671.5</v>
      </c>
      <c r="G101" s="3">
        <v>0</v>
      </c>
      <c r="H101" s="17" t="s">
        <v>432</v>
      </c>
      <c r="I101" s="6">
        <v>2014.5</v>
      </c>
      <c r="J101" s="7">
        <v>45517</v>
      </c>
      <c r="K101" s="6" t="s">
        <v>31</v>
      </c>
      <c r="L101" s="6" t="s">
        <v>16</v>
      </c>
      <c r="M101" s="8">
        <v>1938.72</v>
      </c>
    </row>
    <row r="102" spans="1:13">
      <c r="A102" s="3">
        <v>1728</v>
      </c>
      <c r="B102" s="3" t="s">
        <v>151</v>
      </c>
      <c r="C102" s="3" t="s">
        <v>18</v>
      </c>
      <c r="D102" s="3" t="s">
        <v>19</v>
      </c>
      <c r="E102" s="3">
        <v>1</v>
      </c>
      <c r="F102" s="3">
        <v>733.15</v>
      </c>
      <c r="G102" s="3">
        <v>0.27</v>
      </c>
      <c r="H102" s="17" t="s">
        <v>433</v>
      </c>
      <c r="I102" s="3">
        <v>535.20000000000005</v>
      </c>
      <c r="J102" s="4">
        <v>45682</v>
      </c>
      <c r="K102" s="3" t="s">
        <v>24</v>
      </c>
      <c r="L102" s="3" t="s">
        <v>16</v>
      </c>
      <c r="M102" s="5">
        <v>273.12</v>
      </c>
    </row>
    <row r="103" spans="1:13">
      <c r="A103" s="6">
        <v>1732</v>
      </c>
      <c r="B103" s="6" t="s">
        <v>152</v>
      </c>
      <c r="C103" s="6" t="s">
        <v>29</v>
      </c>
      <c r="D103" s="6" t="s">
        <v>78</v>
      </c>
      <c r="E103" s="6">
        <v>5</v>
      </c>
      <c r="F103" s="6">
        <v>4982.68</v>
      </c>
      <c r="G103" s="3">
        <v>0</v>
      </c>
      <c r="H103" s="17" t="s">
        <v>432</v>
      </c>
      <c r="I103" s="6">
        <v>24913.4</v>
      </c>
      <c r="J103" s="7">
        <v>45236</v>
      </c>
      <c r="K103" s="6" t="s">
        <v>15</v>
      </c>
      <c r="L103" s="6" t="s">
        <v>16</v>
      </c>
      <c r="M103" s="8">
        <v>2239.42</v>
      </c>
    </row>
    <row r="104" spans="1:13">
      <c r="A104" s="3">
        <v>1733</v>
      </c>
      <c r="B104" s="3" t="s">
        <v>153</v>
      </c>
      <c r="C104" s="3" t="s">
        <v>13</v>
      </c>
      <c r="D104" s="3" t="s">
        <v>74</v>
      </c>
      <c r="E104" s="3">
        <v>2</v>
      </c>
      <c r="F104" s="3">
        <v>721.25</v>
      </c>
      <c r="G104" s="3">
        <v>0</v>
      </c>
      <c r="H104" s="17" t="s">
        <v>432</v>
      </c>
      <c r="I104" s="3">
        <v>1442.5</v>
      </c>
      <c r="J104" s="4">
        <v>45686</v>
      </c>
      <c r="K104" s="3" t="s">
        <v>43</v>
      </c>
      <c r="L104" s="3" t="s">
        <v>27</v>
      </c>
      <c r="M104" s="5">
        <v>-936.38</v>
      </c>
    </row>
    <row r="105" spans="1:13">
      <c r="A105" s="6">
        <v>1739</v>
      </c>
      <c r="B105" s="6" t="s">
        <v>154</v>
      </c>
      <c r="C105" s="6" t="s">
        <v>13</v>
      </c>
      <c r="D105" s="6" t="s">
        <v>94</v>
      </c>
      <c r="E105" s="6">
        <v>3</v>
      </c>
      <c r="F105" s="6">
        <v>963.18</v>
      </c>
      <c r="G105" s="3">
        <v>0</v>
      </c>
      <c r="H105" s="17" t="s">
        <v>432</v>
      </c>
      <c r="I105" s="6">
        <v>2889.54</v>
      </c>
      <c r="J105" s="7">
        <v>45658</v>
      </c>
      <c r="K105" s="6" t="s">
        <v>15</v>
      </c>
      <c r="L105" s="6" t="s">
        <v>16</v>
      </c>
      <c r="M105" s="8">
        <v>-114.6</v>
      </c>
    </row>
    <row r="106" spans="1:13">
      <c r="A106" s="3">
        <v>1741</v>
      </c>
      <c r="B106" s="3" t="s">
        <v>155</v>
      </c>
      <c r="C106" s="3" t="s">
        <v>34</v>
      </c>
      <c r="D106" s="3" t="s">
        <v>35</v>
      </c>
      <c r="E106" s="3">
        <v>1</v>
      </c>
      <c r="F106" s="3">
        <v>1762.56</v>
      </c>
      <c r="G106" s="3">
        <v>0.98</v>
      </c>
      <c r="H106" s="17" t="s">
        <v>433</v>
      </c>
      <c r="I106" s="3">
        <v>35.25</v>
      </c>
      <c r="J106" s="4">
        <v>45304</v>
      </c>
      <c r="K106" s="3" t="s">
        <v>24</v>
      </c>
      <c r="L106" s="3" t="s">
        <v>16</v>
      </c>
      <c r="M106" s="5">
        <v>1217.93</v>
      </c>
    </row>
    <row r="107" spans="1:13">
      <c r="A107" s="6">
        <v>1760</v>
      </c>
      <c r="B107" s="6" t="s">
        <v>156</v>
      </c>
      <c r="C107" s="6" t="s">
        <v>52</v>
      </c>
      <c r="D107" s="6" t="s">
        <v>69</v>
      </c>
      <c r="E107" s="6">
        <v>3</v>
      </c>
      <c r="F107" s="6">
        <v>4326.6000000000004</v>
      </c>
      <c r="G107" s="3">
        <v>0</v>
      </c>
      <c r="H107" s="17" t="s">
        <v>432</v>
      </c>
      <c r="I107" s="6">
        <v>12979.8</v>
      </c>
      <c r="J107" s="7">
        <v>45663</v>
      </c>
      <c r="K107" s="6" t="s">
        <v>24</v>
      </c>
      <c r="L107" s="6" t="s">
        <v>16</v>
      </c>
      <c r="M107" s="8">
        <v>1495.82</v>
      </c>
    </row>
    <row r="108" spans="1:13">
      <c r="A108" s="3">
        <v>1029</v>
      </c>
      <c r="B108" s="3" t="s">
        <v>157</v>
      </c>
      <c r="C108" s="3" t="s">
        <v>13</v>
      </c>
      <c r="D108" s="3" t="s">
        <v>74</v>
      </c>
      <c r="E108" s="3">
        <v>3</v>
      </c>
      <c r="F108" s="3">
        <v>4343.12</v>
      </c>
      <c r="G108" s="3">
        <v>0</v>
      </c>
      <c r="H108" s="17" t="s">
        <v>432</v>
      </c>
      <c r="I108" s="3">
        <v>13029.36</v>
      </c>
      <c r="J108" s="4">
        <v>45825</v>
      </c>
      <c r="K108" s="3" t="s">
        <v>31</v>
      </c>
      <c r="L108" s="3" t="s">
        <v>32</v>
      </c>
      <c r="M108" s="5">
        <v>2997.11</v>
      </c>
    </row>
    <row r="109" spans="1:13">
      <c r="A109" s="6">
        <v>1765</v>
      </c>
      <c r="B109" s="6" t="s">
        <v>158</v>
      </c>
      <c r="C109" s="6" t="s">
        <v>22</v>
      </c>
      <c r="D109" s="6" t="s">
        <v>26</v>
      </c>
      <c r="E109" s="6">
        <v>6</v>
      </c>
      <c r="F109" s="6">
        <v>1016.5</v>
      </c>
      <c r="G109" s="3">
        <v>0</v>
      </c>
      <c r="H109" s="17" t="s">
        <v>432</v>
      </c>
      <c r="I109" s="6">
        <v>6099</v>
      </c>
      <c r="J109" s="7">
        <v>45709</v>
      </c>
      <c r="K109" s="6" t="s">
        <v>15</v>
      </c>
      <c r="L109" s="6" t="s">
        <v>32</v>
      </c>
      <c r="M109" s="8">
        <v>-420.11</v>
      </c>
    </row>
    <row r="110" spans="1:13">
      <c r="A110" s="3">
        <v>1768</v>
      </c>
      <c r="B110" s="3" t="s">
        <v>159</v>
      </c>
      <c r="C110" s="3" t="s">
        <v>18</v>
      </c>
      <c r="D110" s="3" t="s">
        <v>42</v>
      </c>
      <c r="E110" s="3">
        <v>5</v>
      </c>
      <c r="F110" s="3">
        <v>3548.22</v>
      </c>
      <c r="G110" s="3">
        <v>0</v>
      </c>
      <c r="H110" s="17" t="s">
        <v>432</v>
      </c>
      <c r="I110" s="3">
        <v>17741.099999999999</v>
      </c>
      <c r="J110" s="4">
        <v>45133</v>
      </c>
      <c r="K110" s="3" t="s">
        <v>15</v>
      </c>
      <c r="L110" s="3" t="s">
        <v>16</v>
      </c>
      <c r="M110" s="5">
        <v>2960.22</v>
      </c>
    </row>
    <row r="111" spans="1:13">
      <c r="A111" s="6">
        <v>1771</v>
      </c>
      <c r="B111" s="6" t="s">
        <v>160</v>
      </c>
      <c r="C111" s="6" t="s">
        <v>18</v>
      </c>
      <c r="D111" s="6" t="s">
        <v>42</v>
      </c>
      <c r="E111" s="6">
        <v>1</v>
      </c>
      <c r="F111" s="6">
        <v>730.48</v>
      </c>
      <c r="G111" s="3">
        <v>0</v>
      </c>
      <c r="H111" s="17" t="s">
        <v>432</v>
      </c>
      <c r="I111" s="6">
        <v>730.48</v>
      </c>
      <c r="J111" s="7">
        <v>45664</v>
      </c>
      <c r="K111" s="6" t="s">
        <v>31</v>
      </c>
      <c r="L111" s="6" t="s">
        <v>32</v>
      </c>
      <c r="M111" s="8">
        <v>-162.02000000000001</v>
      </c>
    </row>
    <row r="112" spans="1:13">
      <c r="A112" s="3">
        <v>1774</v>
      </c>
      <c r="B112" s="3" t="s">
        <v>161</v>
      </c>
      <c r="C112" s="3" t="s">
        <v>52</v>
      </c>
      <c r="D112" s="3" t="s">
        <v>72</v>
      </c>
      <c r="E112" s="3">
        <v>3</v>
      </c>
      <c r="F112" s="3">
        <v>4137.43</v>
      </c>
      <c r="G112" s="3">
        <v>0</v>
      </c>
      <c r="H112" s="17" t="s">
        <v>432</v>
      </c>
      <c r="I112" s="3">
        <v>12412.29</v>
      </c>
      <c r="J112" s="4">
        <v>45777</v>
      </c>
      <c r="K112" s="3" t="s">
        <v>24</v>
      </c>
      <c r="L112" s="3" t="s">
        <v>32</v>
      </c>
      <c r="M112" s="5">
        <v>895.53</v>
      </c>
    </row>
    <row r="113" spans="1:13">
      <c r="A113" s="6">
        <v>1778</v>
      </c>
      <c r="B113" s="6" t="s">
        <v>162</v>
      </c>
      <c r="C113" s="6" t="s">
        <v>34</v>
      </c>
      <c r="D113" s="6" t="s">
        <v>37</v>
      </c>
      <c r="E113" s="6">
        <v>5</v>
      </c>
      <c r="F113" s="6">
        <v>2716.57</v>
      </c>
      <c r="G113" s="3">
        <v>0</v>
      </c>
      <c r="H113" s="17" t="s">
        <v>432</v>
      </c>
      <c r="I113" s="6">
        <v>13582.85</v>
      </c>
      <c r="J113" s="7">
        <v>45569</v>
      </c>
      <c r="K113" s="6" t="s">
        <v>15</v>
      </c>
      <c r="L113" s="6" t="s">
        <v>32</v>
      </c>
      <c r="M113" s="8">
        <v>2059.98</v>
      </c>
    </row>
    <row r="114" spans="1:13">
      <c r="A114" s="3">
        <v>1784</v>
      </c>
      <c r="B114" s="3" t="s">
        <v>163</v>
      </c>
      <c r="C114" s="3" t="s">
        <v>34</v>
      </c>
      <c r="D114" s="3" t="s">
        <v>37</v>
      </c>
      <c r="E114" s="3">
        <v>4</v>
      </c>
      <c r="F114" s="3">
        <v>2068.0500000000002</v>
      </c>
      <c r="G114" s="3">
        <v>0</v>
      </c>
      <c r="H114" s="17" t="s">
        <v>432</v>
      </c>
      <c r="I114" s="3">
        <v>8272.2000000000007</v>
      </c>
      <c r="J114" s="4">
        <v>45573</v>
      </c>
      <c r="K114" s="3" t="s">
        <v>15</v>
      </c>
      <c r="L114" s="3" t="s">
        <v>32</v>
      </c>
      <c r="M114" s="5">
        <v>-379.91</v>
      </c>
    </row>
    <row r="115" spans="1:13">
      <c r="A115" s="6">
        <v>1785</v>
      </c>
      <c r="B115" s="6" t="s">
        <v>164</v>
      </c>
      <c r="C115" s="6" t="s">
        <v>34</v>
      </c>
      <c r="D115" s="6" t="s">
        <v>110</v>
      </c>
      <c r="E115" s="6">
        <v>3</v>
      </c>
      <c r="F115" s="6">
        <v>4103</v>
      </c>
      <c r="G115" s="3">
        <v>0</v>
      </c>
      <c r="H115" s="17" t="s">
        <v>432</v>
      </c>
      <c r="I115" s="6">
        <v>12309</v>
      </c>
      <c r="J115" s="7">
        <v>45804</v>
      </c>
      <c r="K115" s="6" t="s">
        <v>31</v>
      </c>
      <c r="L115" s="6" t="s">
        <v>32</v>
      </c>
      <c r="M115" s="8">
        <v>567.89</v>
      </c>
    </row>
    <row r="116" spans="1:13">
      <c r="A116" s="3">
        <v>1014</v>
      </c>
      <c r="B116" s="3" t="s">
        <v>165</v>
      </c>
      <c r="C116" s="3" t="s">
        <v>22</v>
      </c>
      <c r="D116" s="3" t="s">
        <v>39</v>
      </c>
      <c r="E116" s="3">
        <v>5</v>
      </c>
      <c r="F116" s="3">
        <v>2951.4</v>
      </c>
      <c r="G116" s="3">
        <v>0</v>
      </c>
      <c r="H116" s="17" t="s">
        <v>432</v>
      </c>
      <c r="I116" s="3">
        <v>14757</v>
      </c>
      <c r="J116" s="4">
        <v>45609</v>
      </c>
      <c r="K116" s="3" t="s">
        <v>43</v>
      </c>
      <c r="L116" s="3" t="s">
        <v>27</v>
      </c>
      <c r="M116" s="5">
        <v>2811.87</v>
      </c>
    </row>
    <row r="117" spans="1:13">
      <c r="A117" s="6">
        <v>1790</v>
      </c>
      <c r="B117" s="6" t="s">
        <v>166</v>
      </c>
      <c r="C117" s="6" t="s">
        <v>13</v>
      </c>
      <c r="D117" s="6" t="s">
        <v>74</v>
      </c>
      <c r="E117" s="6">
        <v>1</v>
      </c>
      <c r="F117" s="6">
        <v>3268.42</v>
      </c>
      <c r="G117" s="3">
        <v>0</v>
      </c>
      <c r="H117" s="17" t="s">
        <v>432</v>
      </c>
      <c r="I117" s="6">
        <v>3268.42</v>
      </c>
      <c r="J117" s="7">
        <v>45793</v>
      </c>
      <c r="K117" s="6" t="s">
        <v>43</v>
      </c>
      <c r="L117" s="6" t="s">
        <v>32</v>
      </c>
      <c r="M117" s="8">
        <v>259.67</v>
      </c>
    </row>
    <row r="118" spans="1:13">
      <c r="A118" s="3">
        <v>1793</v>
      </c>
      <c r="B118" s="3" t="s">
        <v>167</v>
      </c>
      <c r="C118" s="3" t="s">
        <v>29</v>
      </c>
      <c r="D118" s="3" t="s">
        <v>30</v>
      </c>
      <c r="E118" s="3">
        <v>5</v>
      </c>
      <c r="F118" s="3">
        <v>1887.84</v>
      </c>
      <c r="G118" s="3">
        <v>0</v>
      </c>
      <c r="H118" s="17" t="s">
        <v>432</v>
      </c>
      <c r="I118" s="3">
        <v>9439.2000000000007</v>
      </c>
      <c r="J118" s="4">
        <v>45525</v>
      </c>
      <c r="K118" s="3" t="s">
        <v>24</v>
      </c>
      <c r="L118" s="3" t="s">
        <v>32</v>
      </c>
      <c r="M118" s="5">
        <v>1275.03</v>
      </c>
    </row>
    <row r="119" spans="1:13">
      <c r="A119" s="6">
        <v>1807</v>
      </c>
      <c r="B119" s="6" t="s">
        <v>168</v>
      </c>
      <c r="C119" s="6" t="s">
        <v>22</v>
      </c>
      <c r="D119" s="6" t="s">
        <v>23</v>
      </c>
      <c r="E119" s="6">
        <v>4</v>
      </c>
      <c r="F119" s="6">
        <v>2308.12</v>
      </c>
      <c r="G119" s="3">
        <v>0</v>
      </c>
      <c r="H119" s="17" t="s">
        <v>432</v>
      </c>
      <c r="I119" s="6">
        <v>9232.48</v>
      </c>
      <c r="J119" s="7">
        <v>45811</v>
      </c>
      <c r="K119" s="6" t="s">
        <v>20</v>
      </c>
      <c r="L119" s="6" t="s">
        <v>32</v>
      </c>
      <c r="M119" s="8">
        <v>362.88</v>
      </c>
    </row>
    <row r="120" spans="1:13">
      <c r="A120" s="3">
        <v>1816</v>
      </c>
      <c r="B120" s="3" t="s">
        <v>169</v>
      </c>
      <c r="C120" s="3" t="s">
        <v>34</v>
      </c>
      <c r="D120" s="3" t="s">
        <v>35</v>
      </c>
      <c r="E120" s="3">
        <v>1</v>
      </c>
      <c r="F120" s="3">
        <v>1130.83</v>
      </c>
      <c r="G120" s="3">
        <v>0.84</v>
      </c>
      <c r="H120" s="17" t="s">
        <v>433</v>
      </c>
      <c r="I120" s="3">
        <v>180.93</v>
      </c>
      <c r="J120" s="4">
        <v>45135</v>
      </c>
      <c r="K120" s="3" t="s">
        <v>31</v>
      </c>
      <c r="L120" s="3" t="s">
        <v>27</v>
      </c>
      <c r="M120" s="5">
        <v>-804.96</v>
      </c>
    </row>
    <row r="121" spans="1:13">
      <c r="A121" s="6">
        <v>1820</v>
      </c>
      <c r="B121" s="6" t="s">
        <v>170</v>
      </c>
      <c r="C121" s="6" t="s">
        <v>34</v>
      </c>
      <c r="D121" s="6" t="s">
        <v>35</v>
      </c>
      <c r="E121" s="6">
        <v>5</v>
      </c>
      <c r="F121" s="6">
        <v>1965.04</v>
      </c>
      <c r="G121" s="3">
        <v>0</v>
      </c>
      <c r="H121" s="17" t="s">
        <v>432</v>
      </c>
      <c r="I121" s="6">
        <v>9825.2000000000007</v>
      </c>
      <c r="J121" s="7">
        <v>45132</v>
      </c>
      <c r="K121" s="6" t="s">
        <v>40</v>
      </c>
      <c r="L121" s="6" t="s">
        <v>27</v>
      </c>
      <c r="M121" s="8">
        <v>20.89</v>
      </c>
    </row>
    <row r="122" spans="1:13">
      <c r="A122" s="3">
        <v>1846</v>
      </c>
      <c r="B122" s="3" t="s">
        <v>171</v>
      </c>
      <c r="C122" s="3" t="s">
        <v>52</v>
      </c>
      <c r="D122" s="3" t="s">
        <v>72</v>
      </c>
      <c r="E122" s="3">
        <v>1</v>
      </c>
      <c r="F122" s="3">
        <v>694.71</v>
      </c>
      <c r="G122" s="3">
        <v>0</v>
      </c>
      <c r="H122" s="17" t="s">
        <v>432</v>
      </c>
      <c r="I122" s="3">
        <v>694.71</v>
      </c>
      <c r="J122" s="4">
        <v>45683</v>
      </c>
      <c r="K122" s="3" t="s">
        <v>24</v>
      </c>
      <c r="L122" s="3" t="s">
        <v>16</v>
      </c>
      <c r="M122" s="5">
        <v>2991.27</v>
      </c>
    </row>
    <row r="123" spans="1:13">
      <c r="A123" s="6">
        <v>1851</v>
      </c>
      <c r="B123" s="6" t="s">
        <v>172</v>
      </c>
      <c r="C123" s="6" t="s">
        <v>22</v>
      </c>
      <c r="D123" s="6" t="s">
        <v>39</v>
      </c>
      <c r="E123" s="6">
        <v>5</v>
      </c>
      <c r="F123" s="6">
        <v>1505</v>
      </c>
      <c r="G123" s="3">
        <v>0</v>
      </c>
      <c r="H123" s="17" t="s">
        <v>432</v>
      </c>
      <c r="I123" s="6">
        <v>7525</v>
      </c>
      <c r="J123" s="7">
        <v>45637</v>
      </c>
      <c r="K123" s="6" t="s">
        <v>20</v>
      </c>
      <c r="L123" s="6" t="s">
        <v>16</v>
      </c>
      <c r="M123" s="8">
        <v>-29.76</v>
      </c>
    </row>
    <row r="124" spans="1:13">
      <c r="A124" s="3">
        <v>1853</v>
      </c>
      <c r="B124" s="3" t="s">
        <v>173</v>
      </c>
      <c r="C124" s="3" t="s">
        <v>52</v>
      </c>
      <c r="D124" s="3" t="s">
        <v>69</v>
      </c>
      <c r="E124" s="3">
        <v>3</v>
      </c>
      <c r="F124" s="3">
        <v>2862.48</v>
      </c>
      <c r="G124" s="3">
        <v>0</v>
      </c>
      <c r="H124" s="17" t="s">
        <v>432</v>
      </c>
      <c r="I124" s="3">
        <v>8587.44</v>
      </c>
      <c r="J124" s="4">
        <v>45184</v>
      </c>
      <c r="K124" s="3" t="s">
        <v>24</v>
      </c>
      <c r="L124" s="3" t="s">
        <v>16</v>
      </c>
      <c r="M124" s="5">
        <v>2555.84</v>
      </c>
    </row>
    <row r="125" spans="1:13">
      <c r="A125" s="6">
        <v>1855</v>
      </c>
      <c r="B125" s="6" t="s">
        <v>174</v>
      </c>
      <c r="C125" s="6" t="s">
        <v>34</v>
      </c>
      <c r="D125" s="6" t="s">
        <v>37</v>
      </c>
      <c r="E125" s="6">
        <v>5</v>
      </c>
      <c r="F125" s="6">
        <v>3870.85</v>
      </c>
      <c r="G125" s="3">
        <v>0</v>
      </c>
      <c r="H125" s="17" t="s">
        <v>432</v>
      </c>
      <c r="I125" s="6">
        <v>19354.25</v>
      </c>
      <c r="J125" s="7">
        <v>45691</v>
      </c>
      <c r="K125" s="6" t="s">
        <v>20</v>
      </c>
      <c r="L125" s="6" t="s">
        <v>32</v>
      </c>
      <c r="M125" s="8">
        <v>2313.58</v>
      </c>
    </row>
    <row r="126" spans="1:13">
      <c r="A126" s="3">
        <v>1856</v>
      </c>
      <c r="B126" s="3" t="s">
        <v>175</v>
      </c>
      <c r="C126" s="3" t="s">
        <v>29</v>
      </c>
      <c r="D126" s="3" t="s">
        <v>78</v>
      </c>
      <c r="E126" s="3">
        <v>1</v>
      </c>
      <c r="F126" s="3">
        <v>2737.23</v>
      </c>
      <c r="G126" s="3">
        <v>0</v>
      </c>
      <c r="H126" s="17" t="s">
        <v>432</v>
      </c>
      <c r="I126" s="3">
        <v>2737.23</v>
      </c>
      <c r="J126" s="4">
        <v>45785</v>
      </c>
      <c r="K126" s="3" t="s">
        <v>15</v>
      </c>
      <c r="L126" s="3" t="s">
        <v>16</v>
      </c>
      <c r="M126" s="5">
        <v>2855.35</v>
      </c>
    </row>
    <row r="127" spans="1:13">
      <c r="A127" s="6">
        <v>1859</v>
      </c>
      <c r="B127" s="6" t="s">
        <v>176</v>
      </c>
      <c r="C127" s="6" t="s">
        <v>52</v>
      </c>
      <c r="D127" s="6" t="s">
        <v>72</v>
      </c>
      <c r="E127" s="6">
        <v>4</v>
      </c>
      <c r="F127" s="6">
        <v>1442.86</v>
      </c>
      <c r="G127" s="3">
        <v>0.85</v>
      </c>
      <c r="H127" s="17" t="s">
        <v>433</v>
      </c>
      <c r="I127" s="6">
        <v>865.72</v>
      </c>
      <c r="J127" s="7">
        <v>45757</v>
      </c>
      <c r="K127" s="6" t="s">
        <v>31</v>
      </c>
      <c r="L127" s="6" t="s">
        <v>16</v>
      </c>
      <c r="M127" s="8">
        <v>1183.93</v>
      </c>
    </row>
    <row r="128" spans="1:13">
      <c r="A128" s="3">
        <v>1864</v>
      </c>
      <c r="B128" s="3" t="s">
        <v>177</v>
      </c>
      <c r="C128" s="3" t="s">
        <v>52</v>
      </c>
      <c r="D128" s="3" t="s">
        <v>53</v>
      </c>
      <c r="E128" s="3">
        <v>4</v>
      </c>
      <c r="F128" s="3">
        <v>1570.06</v>
      </c>
      <c r="G128" s="3">
        <v>0</v>
      </c>
      <c r="H128" s="17" t="s">
        <v>432</v>
      </c>
      <c r="I128" s="3">
        <v>6280.24</v>
      </c>
      <c r="J128" s="4">
        <v>45342</v>
      </c>
      <c r="K128" s="3" t="s">
        <v>43</v>
      </c>
      <c r="L128" s="3" t="s">
        <v>27</v>
      </c>
      <c r="M128" s="5">
        <v>1017.26</v>
      </c>
    </row>
    <row r="129" spans="1:13">
      <c r="A129" s="6">
        <v>1865</v>
      </c>
      <c r="B129" s="6" t="s">
        <v>178</v>
      </c>
      <c r="C129" s="6" t="s">
        <v>13</v>
      </c>
      <c r="D129" s="6" t="s">
        <v>67</v>
      </c>
      <c r="E129" s="6">
        <v>2</v>
      </c>
      <c r="F129" s="6">
        <v>2496.81</v>
      </c>
      <c r="G129" s="3">
        <v>0</v>
      </c>
      <c r="H129" s="17" t="s">
        <v>432</v>
      </c>
      <c r="I129" s="6">
        <v>4993.62</v>
      </c>
      <c r="J129" s="7">
        <v>45401</v>
      </c>
      <c r="K129" s="6" t="s">
        <v>31</v>
      </c>
      <c r="L129" s="6" t="s">
        <v>27</v>
      </c>
      <c r="M129" s="8">
        <v>28.7</v>
      </c>
    </row>
    <row r="130" spans="1:13">
      <c r="A130" s="3">
        <v>1866</v>
      </c>
      <c r="B130" s="3" t="s">
        <v>179</v>
      </c>
      <c r="C130" s="3" t="s">
        <v>34</v>
      </c>
      <c r="D130" s="3" t="s">
        <v>35</v>
      </c>
      <c r="E130" s="3">
        <v>4</v>
      </c>
      <c r="F130" s="3">
        <v>4471.17</v>
      </c>
      <c r="G130" s="3">
        <v>0.6</v>
      </c>
      <c r="H130" s="17" t="s">
        <v>433</v>
      </c>
      <c r="I130" s="3">
        <v>7153.87</v>
      </c>
      <c r="J130" s="4">
        <v>45770</v>
      </c>
      <c r="K130" s="3" t="s">
        <v>40</v>
      </c>
      <c r="L130" s="3" t="s">
        <v>32</v>
      </c>
      <c r="M130" s="5">
        <v>1335.92</v>
      </c>
    </row>
    <row r="131" spans="1:13">
      <c r="A131" s="6">
        <v>1874</v>
      </c>
      <c r="B131" s="6" t="s">
        <v>180</v>
      </c>
      <c r="C131" s="6" t="s">
        <v>18</v>
      </c>
      <c r="D131" s="6" t="s">
        <v>42</v>
      </c>
      <c r="E131" s="6">
        <v>5</v>
      </c>
      <c r="F131" s="6">
        <v>2847.02</v>
      </c>
      <c r="G131" s="3">
        <v>0</v>
      </c>
      <c r="H131" s="17" t="s">
        <v>432</v>
      </c>
      <c r="I131" s="6">
        <v>14235.1</v>
      </c>
      <c r="J131" s="7">
        <v>45378</v>
      </c>
      <c r="K131" s="6" t="s">
        <v>24</v>
      </c>
      <c r="L131" s="6" t="s">
        <v>27</v>
      </c>
      <c r="M131" s="8">
        <v>-573.97</v>
      </c>
    </row>
    <row r="132" spans="1:13">
      <c r="A132" s="3">
        <v>1880</v>
      </c>
      <c r="B132" s="3" t="s">
        <v>181</v>
      </c>
      <c r="C132" s="3" t="s">
        <v>52</v>
      </c>
      <c r="D132" s="3" t="s">
        <v>69</v>
      </c>
      <c r="E132" s="3">
        <v>1</v>
      </c>
      <c r="F132" s="3">
        <v>772.97</v>
      </c>
      <c r="G132" s="3">
        <v>0.9</v>
      </c>
      <c r="H132" s="17" t="s">
        <v>433</v>
      </c>
      <c r="I132" s="3">
        <v>77.3</v>
      </c>
      <c r="J132" s="4">
        <v>45575</v>
      </c>
      <c r="K132" s="3" t="s">
        <v>40</v>
      </c>
      <c r="L132" s="3" t="s">
        <v>16</v>
      </c>
      <c r="M132" s="5">
        <v>843.81</v>
      </c>
    </row>
    <row r="133" spans="1:13">
      <c r="A133" s="6">
        <v>1881</v>
      </c>
      <c r="B133" s="6" t="s">
        <v>182</v>
      </c>
      <c r="C133" s="6" t="s">
        <v>18</v>
      </c>
      <c r="D133" s="6" t="s">
        <v>42</v>
      </c>
      <c r="E133" s="6">
        <v>3</v>
      </c>
      <c r="F133" s="6">
        <v>1772.6</v>
      </c>
      <c r="G133" s="3">
        <v>0</v>
      </c>
      <c r="H133" s="17" t="s">
        <v>432</v>
      </c>
      <c r="I133" s="6">
        <v>5317.8</v>
      </c>
      <c r="J133" s="7">
        <v>45836</v>
      </c>
      <c r="K133" s="6" t="s">
        <v>20</v>
      </c>
      <c r="L133" s="6" t="s">
        <v>16</v>
      </c>
      <c r="M133" s="8">
        <v>993.92</v>
      </c>
    </row>
    <row r="134" spans="1:13">
      <c r="A134" s="3">
        <v>1894</v>
      </c>
      <c r="B134" s="3" t="s">
        <v>183</v>
      </c>
      <c r="C134" s="3" t="s">
        <v>13</v>
      </c>
      <c r="D134" s="3" t="s">
        <v>67</v>
      </c>
      <c r="E134" s="3">
        <v>2</v>
      </c>
      <c r="F134" s="3">
        <v>2793.89</v>
      </c>
      <c r="G134" s="3">
        <v>0</v>
      </c>
      <c r="H134" s="17" t="s">
        <v>432</v>
      </c>
      <c r="I134" s="3">
        <v>5587.78</v>
      </c>
      <c r="J134" s="4">
        <v>45160</v>
      </c>
      <c r="K134" s="3" t="s">
        <v>31</v>
      </c>
      <c r="L134" s="3" t="s">
        <v>16</v>
      </c>
      <c r="M134" s="5">
        <v>-512.73</v>
      </c>
    </row>
    <row r="135" spans="1:13">
      <c r="A135" s="6">
        <v>1898</v>
      </c>
      <c r="B135" s="6" t="s">
        <v>184</v>
      </c>
      <c r="C135" s="6" t="s">
        <v>34</v>
      </c>
      <c r="D135" s="6" t="s">
        <v>85</v>
      </c>
      <c r="E135" s="6">
        <v>5</v>
      </c>
      <c r="F135" s="6">
        <v>776.98</v>
      </c>
      <c r="G135" s="3">
        <v>0</v>
      </c>
      <c r="H135" s="17" t="s">
        <v>432</v>
      </c>
      <c r="I135" s="6">
        <v>3884.9</v>
      </c>
      <c r="J135" s="7">
        <v>45643</v>
      </c>
      <c r="K135" s="6" t="s">
        <v>15</v>
      </c>
      <c r="L135" s="6" t="s">
        <v>32</v>
      </c>
      <c r="M135" s="8">
        <v>2977.35</v>
      </c>
    </row>
    <row r="136" spans="1:13">
      <c r="A136" s="3">
        <v>1904</v>
      </c>
      <c r="B136" s="3" t="s">
        <v>185</v>
      </c>
      <c r="C136" s="3" t="s">
        <v>22</v>
      </c>
      <c r="D136" s="3" t="s">
        <v>64</v>
      </c>
      <c r="E136" s="3">
        <v>1</v>
      </c>
      <c r="F136" s="3">
        <v>1339.18</v>
      </c>
      <c r="G136" s="3">
        <v>0</v>
      </c>
      <c r="H136" s="17" t="s">
        <v>432</v>
      </c>
      <c r="I136" s="3">
        <v>1339.18</v>
      </c>
      <c r="J136" s="4">
        <v>45851</v>
      </c>
      <c r="K136" s="3" t="s">
        <v>20</v>
      </c>
      <c r="L136" s="3" t="s">
        <v>32</v>
      </c>
      <c r="M136" s="5">
        <v>554.92999999999995</v>
      </c>
    </row>
    <row r="137" spans="1:13">
      <c r="A137" s="6">
        <v>1909</v>
      </c>
      <c r="B137" s="6" t="s">
        <v>186</v>
      </c>
      <c r="C137" s="6" t="s">
        <v>52</v>
      </c>
      <c r="D137" s="6" t="s">
        <v>72</v>
      </c>
      <c r="E137" s="6">
        <v>1</v>
      </c>
      <c r="F137" s="6">
        <v>3114.13</v>
      </c>
      <c r="G137" s="3">
        <v>0</v>
      </c>
      <c r="H137" s="17" t="s">
        <v>432</v>
      </c>
      <c r="I137" s="6">
        <v>3114.13</v>
      </c>
      <c r="J137" s="7">
        <v>45799</v>
      </c>
      <c r="K137" s="6" t="s">
        <v>40</v>
      </c>
      <c r="L137" s="6" t="s">
        <v>16</v>
      </c>
      <c r="M137" s="8">
        <v>2743.54</v>
      </c>
    </row>
    <row r="138" spans="1:13">
      <c r="A138" s="3">
        <v>1911</v>
      </c>
      <c r="B138" s="3" t="s">
        <v>187</v>
      </c>
      <c r="C138" s="3" t="s">
        <v>22</v>
      </c>
      <c r="D138" s="3" t="s">
        <v>64</v>
      </c>
      <c r="E138" s="3">
        <v>6</v>
      </c>
      <c r="F138" s="3">
        <v>2357.6999999999998</v>
      </c>
      <c r="G138" s="3">
        <v>0</v>
      </c>
      <c r="H138" s="17" t="s">
        <v>432</v>
      </c>
      <c r="I138" s="3">
        <v>14146.2</v>
      </c>
      <c r="J138" s="4">
        <v>45521</v>
      </c>
      <c r="K138" s="3" t="s">
        <v>24</v>
      </c>
      <c r="L138" s="3" t="s">
        <v>27</v>
      </c>
      <c r="M138" s="5">
        <v>1901.07</v>
      </c>
    </row>
    <row r="139" spans="1:13">
      <c r="A139" s="6">
        <v>1914</v>
      </c>
      <c r="B139" s="6" t="s">
        <v>188</v>
      </c>
      <c r="C139" s="6" t="s">
        <v>22</v>
      </c>
      <c r="D139" s="6" t="s">
        <v>23</v>
      </c>
      <c r="E139" s="6">
        <v>6</v>
      </c>
      <c r="F139" s="6">
        <v>3661.49</v>
      </c>
      <c r="G139" s="3">
        <v>0.11</v>
      </c>
      <c r="H139" s="17" t="s">
        <v>433</v>
      </c>
      <c r="I139" s="6">
        <v>19552.36</v>
      </c>
      <c r="J139" s="7">
        <v>45848</v>
      </c>
      <c r="K139" s="6" t="s">
        <v>40</v>
      </c>
      <c r="L139" s="6" t="s">
        <v>27</v>
      </c>
      <c r="M139" s="8">
        <v>-527.32000000000005</v>
      </c>
    </row>
    <row r="140" spans="1:13">
      <c r="A140" s="3">
        <v>1926</v>
      </c>
      <c r="B140" s="3" t="s">
        <v>189</v>
      </c>
      <c r="C140" s="3" t="s">
        <v>18</v>
      </c>
      <c r="D140" s="3" t="s">
        <v>42</v>
      </c>
      <c r="E140" s="3">
        <v>2</v>
      </c>
      <c r="F140" s="3">
        <v>2533.37</v>
      </c>
      <c r="G140" s="3">
        <v>0</v>
      </c>
      <c r="H140" s="17" t="s">
        <v>432</v>
      </c>
      <c r="I140" s="3">
        <v>5066.74</v>
      </c>
      <c r="J140" s="4">
        <v>45508</v>
      </c>
      <c r="K140" s="3" t="s">
        <v>20</v>
      </c>
      <c r="L140" s="3" t="s">
        <v>32</v>
      </c>
      <c r="M140" s="5">
        <v>-490.96</v>
      </c>
    </row>
    <row r="141" spans="1:13">
      <c r="A141" s="6">
        <v>1936</v>
      </c>
      <c r="B141" s="6" t="s">
        <v>190</v>
      </c>
      <c r="C141" s="6" t="s">
        <v>22</v>
      </c>
      <c r="D141" s="6" t="s">
        <v>64</v>
      </c>
      <c r="E141" s="6">
        <v>5</v>
      </c>
      <c r="F141" s="6">
        <v>804.78</v>
      </c>
      <c r="G141" s="3">
        <v>0</v>
      </c>
      <c r="H141" s="17" t="s">
        <v>432</v>
      </c>
      <c r="I141" s="6">
        <v>4023.9</v>
      </c>
      <c r="J141" s="7">
        <v>45667</v>
      </c>
      <c r="K141" s="6" t="s">
        <v>24</v>
      </c>
      <c r="L141" s="6" t="s">
        <v>27</v>
      </c>
      <c r="M141" s="8">
        <v>1109.21</v>
      </c>
    </row>
    <row r="142" spans="1:13">
      <c r="A142" s="3">
        <v>1937</v>
      </c>
      <c r="B142" s="3" t="s">
        <v>191</v>
      </c>
      <c r="C142" s="3" t="s">
        <v>52</v>
      </c>
      <c r="D142" s="3" t="s">
        <v>69</v>
      </c>
      <c r="E142" s="3">
        <v>4</v>
      </c>
      <c r="F142" s="3">
        <v>643.24</v>
      </c>
      <c r="G142" s="3">
        <v>0</v>
      </c>
      <c r="H142" s="17" t="s">
        <v>432</v>
      </c>
      <c r="I142" s="3">
        <v>2572.96</v>
      </c>
      <c r="J142" s="4">
        <v>45795</v>
      </c>
      <c r="K142" s="3" t="s">
        <v>24</v>
      </c>
      <c r="L142" s="3" t="s">
        <v>32</v>
      </c>
      <c r="M142" s="5">
        <v>1670.97</v>
      </c>
    </row>
    <row r="143" spans="1:13">
      <c r="A143" s="6">
        <v>1951</v>
      </c>
      <c r="B143" s="6" t="s">
        <v>192</v>
      </c>
      <c r="C143" s="6" t="s">
        <v>18</v>
      </c>
      <c r="D143" s="6" t="s">
        <v>19</v>
      </c>
      <c r="E143" s="6">
        <v>2</v>
      </c>
      <c r="F143" s="6">
        <v>2390.4299999999998</v>
      </c>
      <c r="G143" s="3">
        <v>0.35</v>
      </c>
      <c r="H143" s="17" t="s">
        <v>433</v>
      </c>
      <c r="I143" s="6">
        <v>3107.56</v>
      </c>
      <c r="J143" s="7">
        <v>45570</v>
      </c>
      <c r="K143" s="6" t="s">
        <v>43</v>
      </c>
      <c r="L143" s="6" t="s">
        <v>27</v>
      </c>
      <c r="M143" s="8">
        <v>-634.86</v>
      </c>
    </row>
    <row r="144" spans="1:13">
      <c r="A144" s="3">
        <v>1954</v>
      </c>
      <c r="B144" s="3" t="s">
        <v>193</v>
      </c>
      <c r="C144" s="3" t="s">
        <v>22</v>
      </c>
      <c r="D144" s="3" t="s">
        <v>64</v>
      </c>
      <c r="E144" s="3">
        <v>2</v>
      </c>
      <c r="F144" s="3">
        <v>2315.7800000000002</v>
      </c>
      <c r="G144" s="3">
        <v>0</v>
      </c>
      <c r="H144" s="17" t="s">
        <v>432</v>
      </c>
      <c r="I144" s="3">
        <v>4631.5600000000004</v>
      </c>
      <c r="J144" s="4">
        <v>45803</v>
      </c>
      <c r="K144" s="3" t="s">
        <v>24</v>
      </c>
      <c r="L144" s="3" t="s">
        <v>27</v>
      </c>
      <c r="M144" s="5">
        <v>2501.64</v>
      </c>
    </row>
    <row r="145" spans="1:13">
      <c r="A145" s="6">
        <v>1955</v>
      </c>
      <c r="B145" s="6" t="s">
        <v>194</v>
      </c>
      <c r="C145" s="6" t="s">
        <v>18</v>
      </c>
      <c r="D145" s="6" t="s">
        <v>57</v>
      </c>
      <c r="E145" s="6">
        <v>1</v>
      </c>
      <c r="F145" s="6">
        <v>2787.46</v>
      </c>
      <c r="G145" s="3">
        <v>0.92</v>
      </c>
      <c r="H145" s="17" t="s">
        <v>433</v>
      </c>
      <c r="I145" s="6">
        <v>223</v>
      </c>
      <c r="J145" s="7">
        <v>45668</v>
      </c>
      <c r="K145" s="6" t="s">
        <v>15</v>
      </c>
      <c r="L145" s="6" t="s">
        <v>16</v>
      </c>
      <c r="M145" s="8">
        <v>2909.73</v>
      </c>
    </row>
    <row r="146" spans="1:13">
      <c r="A146" s="3">
        <v>1960</v>
      </c>
      <c r="B146" s="3" t="s">
        <v>195</v>
      </c>
      <c r="C146" s="3" t="s">
        <v>18</v>
      </c>
      <c r="D146" s="3" t="s">
        <v>42</v>
      </c>
      <c r="E146" s="3">
        <v>2</v>
      </c>
      <c r="F146" s="3">
        <v>1369.81</v>
      </c>
      <c r="G146" s="3">
        <v>0.67</v>
      </c>
      <c r="H146" s="17" t="s">
        <v>433</v>
      </c>
      <c r="I146" s="3">
        <v>904.07</v>
      </c>
      <c r="J146" s="4">
        <v>45612</v>
      </c>
      <c r="K146" s="3" t="s">
        <v>40</v>
      </c>
      <c r="L146" s="3" t="s">
        <v>16</v>
      </c>
      <c r="M146" s="5">
        <v>1179.44</v>
      </c>
    </row>
    <row r="147" spans="1:13">
      <c r="A147" s="6">
        <v>1979</v>
      </c>
      <c r="B147" s="6" t="s">
        <v>196</v>
      </c>
      <c r="C147" s="6" t="s">
        <v>29</v>
      </c>
      <c r="D147" s="6" t="s">
        <v>48</v>
      </c>
      <c r="E147" s="6">
        <v>2</v>
      </c>
      <c r="F147" s="6">
        <v>4375.7</v>
      </c>
      <c r="G147" s="3">
        <v>0.91</v>
      </c>
      <c r="H147" s="17" t="s">
        <v>433</v>
      </c>
      <c r="I147" s="6">
        <v>787.63</v>
      </c>
      <c r="J147" s="7">
        <v>45821</v>
      </c>
      <c r="K147" s="6" t="s">
        <v>20</v>
      </c>
      <c r="L147" s="6" t="s">
        <v>16</v>
      </c>
      <c r="M147" s="8">
        <v>250.46</v>
      </c>
    </row>
    <row r="148" spans="1:13">
      <c r="A148" s="3">
        <v>1980</v>
      </c>
      <c r="B148" s="3" t="s">
        <v>197</v>
      </c>
      <c r="C148" s="3" t="s">
        <v>52</v>
      </c>
      <c r="D148" s="3" t="s">
        <v>53</v>
      </c>
      <c r="E148" s="3">
        <v>1</v>
      </c>
      <c r="F148" s="3">
        <v>1426.73</v>
      </c>
      <c r="G148" s="3">
        <v>0</v>
      </c>
      <c r="H148" s="17" t="s">
        <v>432</v>
      </c>
      <c r="I148" s="3">
        <v>1426.73</v>
      </c>
      <c r="J148" s="4">
        <v>45207</v>
      </c>
      <c r="K148" s="3" t="s">
        <v>40</v>
      </c>
      <c r="L148" s="3" t="s">
        <v>32</v>
      </c>
      <c r="M148" s="5">
        <v>2451.9899999999998</v>
      </c>
    </row>
    <row r="149" spans="1:13">
      <c r="A149" s="6">
        <v>1990</v>
      </c>
      <c r="B149" s="6" t="s">
        <v>198</v>
      </c>
      <c r="C149" s="6" t="s">
        <v>22</v>
      </c>
      <c r="D149" s="6" t="s">
        <v>23</v>
      </c>
      <c r="E149" s="6">
        <v>1</v>
      </c>
      <c r="F149" s="6">
        <v>1203.45</v>
      </c>
      <c r="G149" s="3">
        <v>0</v>
      </c>
      <c r="H149" s="17" t="s">
        <v>432</v>
      </c>
      <c r="I149" s="6">
        <v>1203.45</v>
      </c>
      <c r="J149" s="7">
        <v>45774</v>
      </c>
      <c r="K149" s="6" t="s">
        <v>43</v>
      </c>
      <c r="L149" s="6" t="s">
        <v>32</v>
      </c>
      <c r="M149" s="8">
        <v>1184.3599999999999</v>
      </c>
    </row>
    <row r="150" spans="1:13">
      <c r="A150" s="3">
        <v>1994</v>
      </c>
      <c r="B150" s="3" t="s">
        <v>199</v>
      </c>
      <c r="C150" s="3" t="s">
        <v>22</v>
      </c>
      <c r="D150" s="3" t="s">
        <v>64</v>
      </c>
      <c r="E150" s="3">
        <v>1</v>
      </c>
      <c r="F150" s="3">
        <v>1010.48</v>
      </c>
      <c r="G150" s="3">
        <v>0</v>
      </c>
      <c r="H150" s="17" t="s">
        <v>432</v>
      </c>
      <c r="I150" s="3">
        <v>1010.48</v>
      </c>
      <c r="J150" s="4">
        <v>45499</v>
      </c>
      <c r="K150" s="3" t="s">
        <v>31</v>
      </c>
      <c r="L150" s="3" t="s">
        <v>32</v>
      </c>
      <c r="M150" s="5">
        <v>2321.5300000000002</v>
      </c>
    </row>
    <row r="151" spans="1:13">
      <c r="A151" s="6">
        <v>1998</v>
      </c>
      <c r="B151" s="6" t="s">
        <v>200</v>
      </c>
      <c r="C151" s="6" t="s">
        <v>34</v>
      </c>
      <c r="D151" s="6" t="s">
        <v>85</v>
      </c>
      <c r="E151" s="6">
        <v>5</v>
      </c>
      <c r="F151" s="6">
        <v>2567.59</v>
      </c>
      <c r="G151" s="3">
        <v>0</v>
      </c>
      <c r="H151" s="17" t="s">
        <v>432</v>
      </c>
      <c r="I151" s="6">
        <v>12837.95</v>
      </c>
      <c r="J151" s="7">
        <v>45203</v>
      </c>
      <c r="K151" s="6" t="s">
        <v>43</v>
      </c>
      <c r="L151" s="6" t="s">
        <v>32</v>
      </c>
      <c r="M151" s="8">
        <v>-702.7</v>
      </c>
    </row>
    <row r="152" spans="1:13">
      <c r="A152" s="3">
        <v>2000</v>
      </c>
      <c r="B152" s="3" t="s">
        <v>201</v>
      </c>
      <c r="C152" s="3" t="s">
        <v>13</v>
      </c>
      <c r="D152" s="3" t="s">
        <v>67</v>
      </c>
      <c r="E152" s="3">
        <v>1</v>
      </c>
      <c r="F152" s="3">
        <v>1966.21</v>
      </c>
      <c r="G152" s="3">
        <v>0</v>
      </c>
      <c r="H152" s="17" t="s">
        <v>432</v>
      </c>
      <c r="I152" s="3">
        <v>1966.21</v>
      </c>
      <c r="J152" s="4">
        <v>45520</v>
      </c>
      <c r="K152" s="3" t="s">
        <v>20</v>
      </c>
      <c r="L152" s="3" t="s">
        <v>27</v>
      </c>
      <c r="M152" s="5">
        <v>2035.1</v>
      </c>
    </row>
    <row r="153" spans="1:13">
      <c r="A153" s="6">
        <v>2010</v>
      </c>
      <c r="B153" s="6" t="s">
        <v>202</v>
      </c>
      <c r="C153" s="6" t="s">
        <v>34</v>
      </c>
      <c r="D153" s="6" t="s">
        <v>35</v>
      </c>
      <c r="E153" s="6">
        <v>1</v>
      </c>
      <c r="F153" s="6">
        <v>3630.24</v>
      </c>
      <c r="G153" s="3">
        <v>0</v>
      </c>
      <c r="H153" s="17" t="s">
        <v>432</v>
      </c>
      <c r="I153" s="6">
        <v>3630.24</v>
      </c>
      <c r="J153" s="7">
        <v>45582</v>
      </c>
      <c r="K153" s="6" t="s">
        <v>24</v>
      </c>
      <c r="L153" s="6" t="s">
        <v>27</v>
      </c>
      <c r="M153" s="8">
        <v>-194.42</v>
      </c>
    </row>
    <row r="154" spans="1:13">
      <c r="A154" s="3">
        <v>2011</v>
      </c>
      <c r="B154" s="3" t="s">
        <v>203</v>
      </c>
      <c r="C154" s="3" t="s">
        <v>18</v>
      </c>
      <c r="D154" s="3" t="s">
        <v>42</v>
      </c>
      <c r="E154" s="3">
        <v>1</v>
      </c>
      <c r="F154" s="3">
        <v>3989.68</v>
      </c>
      <c r="G154" s="3">
        <v>0</v>
      </c>
      <c r="H154" s="17" t="s">
        <v>432</v>
      </c>
      <c r="I154" s="3">
        <v>3989.68</v>
      </c>
      <c r="J154" s="4">
        <v>45747</v>
      </c>
      <c r="K154" s="3" t="s">
        <v>15</v>
      </c>
      <c r="L154" s="3" t="s">
        <v>32</v>
      </c>
      <c r="M154" s="5">
        <v>999.35</v>
      </c>
    </row>
    <row r="155" spans="1:13">
      <c r="A155" s="6">
        <v>2016</v>
      </c>
      <c r="B155" s="6" t="s">
        <v>204</v>
      </c>
      <c r="C155" s="6" t="s">
        <v>18</v>
      </c>
      <c r="D155" s="6" t="s">
        <v>46</v>
      </c>
      <c r="E155" s="6">
        <v>2</v>
      </c>
      <c r="F155" s="6">
        <v>1435.85</v>
      </c>
      <c r="G155" s="3">
        <v>0</v>
      </c>
      <c r="H155" s="17" t="s">
        <v>432</v>
      </c>
      <c r="I155" s="6">
        <v>2871.7</v>
      </c>
      <c r="J155" s="7">
        <v>45786</v>
      </c>
      <c r="K155" s="6" t="s">
        <v>31</v>
      </c>
      <c r="L155" s="6" t="s">
        <v>16</v>
      </c>
      <c r="M155" s="8">
        <v>317.58</v>
      </c>
    </row>
    <row r="156" spans="1:13">
      <c r="A156" s="3">
        <v>2019</v>
      </c>
      <c r="B156" s="3" t="s">
        <v>205</v>
      </c>
      <c r="C156" s="3" t="s">
        <v>22</v>
      </c>
      <c r="D156" s="3" t="s">
        <v>26</v>
      </c>
      <c r="E156" s="3">
        <v>2</v>
      </c>
      <c r="F156" s="3">
        <v>1797.91</v>
      </c>
      <c r="G156" s="3">
        <v>0</v>
      </c>
      <c r="H156" s="17" t="s">
        <v>432</v>
      </c>
      <c r="I156" s="3">
        <v>3595.82</v>
      </c>
      <c r="J156" s="4">
        <v>45680</v>
      </c>
      <c r="K156" s="3" t="s">
        <v>24</v>
      </c>
      <c r="L156" s="3" t="s">
        <v>32</v>
      </c>
      <c r="M156" s="5">
        <v>2132.08</v>
      </c>
    </row>
    <row r="157" spans="1:13">
      <c r="A157" s="6">
        <v>2020</v>
      </c>
      <c r="B157" s="6" t="s">
        <v>206</v>
      </c>
      <c r="C157" s="6" t="s">
        <v>22</v>
      </c>
      <c r="D157" s="6" t="s">
        <v>26</v>
      </c>
      <c r="E157" s="6">
        <v>2</v>
      </c>
      <c r="F157" s="6">
        <v>3954.73</v>
      </c>
      <c r="G157" s="3">
        <v>0.3</v>
      </c>
      <c r="H157" s="17" t="s">
        <v>433</v>
      </c>
      <c r="I157" s="6">
        <v>5536.62</v>
      </c>
      <c r="J157" s="7">
        <v>45788</v>
      </c>
      <c r="K157" s="6" t="s">
        <v>20</v>
      </c>
      <c r="L157" s="6" t="s">
        <v>27</v>
      </c>
      <c r="M157" s="8">
        <v>-78.22</v>
      </c>
    </row>
    <row r="158" spans="1:13">
      <c r="A158" s="3">
        <v>2024</v>
      </c>
      <c r="B158" s="3" t="s">
        <v>207</v>
      </c>
      <c r="C158" s="3" t="s">
        <v>29</v>
      </c>
      <c r="D158" s="3" t="s">
        <v>83</v>
      </c>
      <c r="E158" s="3">
        <v>4</v>
      </c>
      <c r="F158" s="3">
        <v>4220.2</v>
      </c>
      <c r="G158" s="3">
        <v>0</v>
      </c>
      <c r="H158" s="17" t="s">
        <v>432</v>
      </c>
      <c r="I158" s="3">
        <v>16880.8</v>
      </c>
      <c r="J158" s="4">
        <v>45274</v>
      </c>
      <c r="K158" s="3" t="s">
        <v>43</v>
      </c>
      <c r="L158" s="3" t="s">
        <v>32</v>
      </c>
      <c r="M158" s="5">
        <v>2488.92</v>
      </c>
    </row>
    <row r="159" spans="1:13">
      <c r="A159" s="6">
        <v>2027</v>
      </c>
      <c r="B159" s="6" t="s">
        <v>208</v>
      </c>
      <c r="C159" s="6" t="s">
        <v>18</v>
      </c>
      <c r="D159" s="6" t="s">
        <v>42</v>
      </c>
      <c r="E159" s="6">
        <v>5</v>
      </c>
      <c r="F159" s="6">
        <v>2734.95</v>
      </c>
      <c r="G159" s="3">
        <v>0.17</v>
      </c>
      <c r="H159" s="17" t="s">
        <v>433</v>
      </c>
      <c r="I159" s="6">
        <v>11350.04</v>
      </c>
      <c r="J159" s="7">
        <v>45661</v>
      </c>
      <c r="K159" s="6" t="s">
        <v>15</v>
      </c>
      <c r="L159" s="6" t="s">
        <v>32</v>
      </c>
      <c r="M159" s="8">
        <v>-657.03</v>
      </c>
    </row>
    <row r="160" spans="1:13">
      <c r="A160" s="3">
        <v>2030</v>
      </c>
      <c r="B160" s="3" t="s">
        <v>209</v>
      </c>
      <c r="C160" s="3" t="s">
        <v>29</v>
      </c>
      <c r="D160" s="3" t="s">
        <v>78</v>
      </c>
      <c r="E160" s="3">
        <v>1</v>
      </c>
      <c r="F160" s="3">
        <v>1354.69</v>
      </c>
      <c r="G160" s="3">
        <v>0</v>
      </c>
      <c r="H160" s="17" t="s">
        <v>432</v>
      </c>
      <c r="I160" s="3">
        <v>1354.69</v>
      </c>
      <c r="J160" s="4">
        <v>45637</v>
      </c>
      <c r="K160" s="3" t="s">
        <v>31</v>
      </c>
      <c r="L160" s="3" t="s">
        <v>32</v>
      </c>
      <c r="M160" s="5">
        <v>-710.56</v>
      </c>
    </row>
    <row r="161" spans="1:13">
      <c r="A161" s="6">
        <v>2034</v>
      </c>
      <c r="B161" s="6" t="s">
        <v>210</v>
      </c>
      <c r="C161" s="6" t="s">
        <v>52</v>
      </c>
      <c r="D161" s="6" t="s">
        <v>72</v>
      </c>
      <c r="E161" s="6">
        <v>6</v>
      </c>
      <c r="F161" s="6">
        <v>3080.12</v>
      </c>
      <c r="G161" s="3">
        <v>0.26</v>
      </c>
      <c r="H161" s="17" t="s">
        <v>433</v>
      </c>
      <c r="I161" s="6">
        <v>13675.73</v>
      </c>
      <c r="J161" s="7">
        <v>45831</v>
      </c>
      <c r="K161" s="6" t="s">
        <v>31</v>
      </c>
      <c r="L161" s="6" t="s">
        <v>32</v>
      </c>
      <c r="M161" s="8">
        <v>-678.89</v>
      </c>
    </row>
    <row r="162" spans="1:13">
      <c r="A162" s="3">
        <v>2037</v>
      </c>
      <c r="B162" s="3" t="s">
        <v>211</v>
      </c>
      <c r="C162" s="3" t="s">
        <v>18</v>
      </c>
      <c r="D162" s="3" t="s">
        <v>46</v>
      </c>
      <c r="E162" s="3">
        <v>1</v>
      </c>
      <c r="F162" s="3">
        <v>1120.52</v>
      </c>
      <c r="G162" s="3">
        <v>0</v>
      </c>
      <c r="H162" s="17" t="s">
        <v>432</v>
      </c>
      <c r="I162" s="3">
        <v>1120.52</v>
      </c>
      <c r="J162" s="4">
        <v>45849</v>
      </c>
      <c r="K162" s="3" t="s">
        <v>31</v>
      </c>
      <c r="L162" s="3" t="s">
        <v>16</v>
      </c>
      <c r="M162" s="5">
        <v>-523.32000000000005</v>
      </c>
    </row>
    <row r="163" spans="1:13">
      <c r="A163" s="6">
        <v>2051</v>
      </c>
      <c r="B163" s="6" t="s">
        <v>212</v>
      </c>
      <c r="C163" s="6" t="s">
        <v>52</v>
      </c>
      <c r="D163" s="6" t="s">
        <v>72</v>
      </c>
      <c r="E163" s="6">
        <v>2</v>
      </c>
      <c r="F163" s="6">
        <v>1234.27</v>
      </c>
      <c r="G163" s="3">
        <v>0</v>
      </c>
      <c r="H163" s="17" t="s">
        <v>432</v>
      </c>
      <c r="I163" s="6">
        <v>2468.54</v>
      </c>
      <c r="J163" s="7">
        <v>45716</v>
      </c>
      <c r="K163" s="6" t="s">
        <v>40</v>
      </c>
      <c r="L163" s="6" t="s">
        <v>16</v>
      </c>
      <c r="M163" s="8">
        <v>-911.71</v>
      </c>
    </row>
    <row r="164" spans="1:13">
      <c r="A164" s="3">
        <v>2052</v>
      </c>
      <c r="B164" s="3" t="s">
        <v>213</v>
      </c>
      <c r="C164" s="3" t="s">
        <v>29</v>
      </c>
      <c r="D164" s="3" t="s">
        <v>30</v>
      </c>
      <c r="E164" s="3">
        <v>3</v>
      </c>
      <c r="F164" s="3">
        <v>4971.74</v>
      </c>
      <c r="G164" s="3">
        <v>0</v>
      </c>
      <c r="H164" s="17" t="s">
        <v>432</v>
      </c>
      <c r="I164" s="3">
        <v>14915.22</v>
      </c>
      <c r="J164" s="4">
        <v>45443</v>
      </c>
      <c r="K164" s="3" t="s">
        <v>20</v>
      </c>
      <c r="L164" s="3" t="s">
        <v>27</v>
      </c>
      <c r="M164" s="5">
        <v>1386.13</v>
      </c>
    </row>
    <row r="165" spans="1:13">
      <c r="A165" s="6">
        <v>2059</v>
      </c>
      <c r="B165" s="6" t="s">
        <v>214</v>
      </c>
      <c r="C165" s="6" t="s">
        <v>52</v>
      </c>
      <c r="D165" s="6" t="s">
        <v>72</v>
      </c>
      <c r="E165" s="6">
        <v>3</v>
      </c>
      <c r="F165" s="6">
        <v>1193.03</v>
      </c>
      <c r="G165" s="3">
        <v>0</v>
      </c>
      <c r="H165" s="17" t="s">
        <v>432</v>
      </c>
      <c r="I165" s="6">
        <v>3579.09</v>
      </c>
      <c r="J165" s="7">
        <v>45723</v>
      </c>
      <c r="K165" s="6" t="s">
        <v>15</v>
      </c>
      <c r="L165" s="6" t="s">
        <v>16</v>
      </c>
      <c r="M165" s="8">
        <v>-876.83</v>
      </c>
    </row>
    <row r="166" spans="1:13">
      <c r="A166" s="3">
        <v>2062</v>
      </c>
      <c r="B166" s="3" t="s">
        <v>215</v>
      </c>
      <c r="C166" s="3" t="s">
        <v>29</v>
      </c>
      <c r="D166" s="3" t="s">
        <v>83</v>
      </c>
      <c r="E166" s="3">
        <v>4</v>
      </c>
      <c r="F166" s="3">
        <v>2975.64</v>
      </c>
      <c r="G166" s="3">
        <v>0</v>
      </c>
      <c r="H166" s="17" t="s">
        <v>432</v>
      </c>
      <c r="I166" s="3">
        <v>11902.56</v>
      </c>
      <c r="J166" s="4">
        <v>45502</v>
      </c>
      <c r="K166" s="3" t="s">
        <v>31</v>
      </c>
      <c r="L166" s="3" t="s">
        <v>27</v>
      </c>
      <c r="M166" s="5">
        <v>-644.20000000000005</v>
      </c>
    </row>
    <row r="167" spans="1:13">
      <c r="A167" s="6">
        <v>2065</v>
      </c>
      <c r="B167" s="6" t="s">
        <v>216</v>
      </c>
      <c r="C167" s="6" t="s">
        <v>34</v>
      </c>
      <c r="D167" s="6" t="s">
        <v>37</v>
      </c>
      <c r="E167" s="6">
        <v>4</v>
      </c>
      <c r="F167" s="6">
        <v>3590.4</v>
      </c>
      <c r="G167" s="3">
        <v>0</v>
      </c>
      <c r="H167" s="17" t="s">
        <v>432</v>
      </c>
      <c r="I167" s="6">
        <v>14361.6</v>
      </c>
      <c r="J167" s="7">
        <v>45526</v>
      </c>
      <c r="K167" s="6" t="s">
        <v>20</v>
      </c>
      <c r="L167" s="6" t="s">
        <v>27</v>
      </c>
      <c r="M167" s="8">
        <v>-86.57</v>
      </c>
    </row>
    <row r="168" spans="1:13">
      <c r="A168" s="3">
        <v>2084</v>
      </c>
      <c r="B168" s="3" t="s">
        <v>217</v>
      </c>
      <c r="C168" s="3" t="s">
        <v>13</v>
      </c>
      <c r="D168" s="3" t="s">
        <v>14</v>
      </c>
      <c r="E168" s="3">
        <v>6</v>
      </c>
      <c r="F168" s="3">
        <v>4068.82</v>
      </c>
      <c r="G168" s="3">
        <v>0</v>
      </c>
      <c r="H168" s="17" t="s">
        <v>432</v>
      </c>
      <c r="I168" s="3">
        <v>24412.92</v>
      </c>
      <c r="J168" s="4">
        <v>45750</v>
      </c>
      <c r="K168" s="3" t="s">
        <v>24</v>
      </c>
      <c r="L168" s="3" t="s">
        <v>16</v>
      </c>
      <c r="M168" s="5">
        <v>719.55</v>
      </c>
    </row>
    <row r="169" spans="1:13">
      <c r="A169" s="6">
        <v>2100</v>
      </c>
      <c r="B169" s="6" t="s">
        <v>218</v>
      </c>
      <c r="C169" s="6" t="s">
        <v>18</v>
      </c>
      <c r="D169" s="6" t="s">
        <v>42</v>
      </c>
      <c r="E169" s="6">
        <v>1</v>
      </c>
      <c r="F169" s="6">
        <v>1528.94</v>
      </c>
      <c r="G169" s="3">
        <v>0.67</v>
      </c>
      <c r="H169" s="17" t="s">
        <v>433</v>
      </c>
      <c r="I169" s="6">
        <v>504.55</v>
      </c>
      <c r="J169" s="7">
        <v>45683</v>
      </c>
      <c r="K169" s="6" t="s">
        <v>43</v>
      </c>
      <c r="L169" s="6" t="s">
        <v>16</v>
      </c>
      <c r="M169" s="8">
        <v>2294.33</v>
      </c>
    </row>
    <row r="170" spans="1:13">
      <c r="A170" s="3">
        <v>2105</v>
      </c>
      <c r="B170" s="3" t="s">
        <v>219</v>
      </c>
      <c r="C170" s="3" t="s">
        <v>18</v>
      </c>
      <c r="D170" s="3" t="s">
        <v>42</v>
      </c>
      <c r="E170" s="3">
        <v>1</v>
      </c>
      <c r="F170" s="3">
        <v>3643.63</v>
      </c>
      <c r="G170" s="3">
        <v>0.19</v>
      </c>
      <c r="H170" s="17" t="s">
        <v>433</v>
      </c>
      <c r="I170" s="3">
        <v>2951.34</v>
      </c>
      <c r="J170" s="4">
        <v>45754</v>
      </c>
      <c r="K170" s="3" t="s">
        <v>15</v>
      </c>
      <c r="L170" s="3" t="s">
        <v>32</v>
      </c>
      <c r="M170" s="5">
        <v>375.4</v>
      </c>
    </row>
    <row r="171" spans="1:13">
      <c r="A171" s="6">
        <v>2106</v>
      </c>
      <c r="B171" s="6" t="s">
        <v>220</v>
      </c>
      <c r="C171" s="6" t="s">
        <v>29</v>
      </c>
      <c r="D171" s="6" t="s">
        <v>78</v>
      </c>
      <c r="E171" s="6">
        <v>4</v>
      </c>
      <c r="F171" s="6">
        <v>4312.21</v>
      </c>
      <c r="G171" s="3">
        <v>0</v>
      </c>
      <c r="H171" s="17" t="s">
        <v>432</v>
      </c>
      <c r="I171" s="6">
        <v>17248.84</v>
      </c>
      <c r="J171" s="7">
        <v>45404</v>
      </c>
      <c r="K171" s="6" t="s">
        <v>43</v>
      </c>
      <c r="L171" s="6" t="s">
        <v>32</v>
      </c>
      <c r="M171" s="8">
        <v>552.97</v>
      </c>
    </row>
    <row r="172" spans="1:13">
      <c r="A172" s="3">
        <v>2118</v>
      </c>
      <c r="B172" s="3" t="s">
        <v>221</v>
      </c>
      <c r="C172" s="3" t="s">
        <v>29</v>
      </c>
      <c r="D172" s="3" t="s">
        <v>78</v>
      </c>
      <c r="E172" s="3">
        <v>3</v>
      </c>
      <c r="F172" s="3">
        <v>3952.46</v>
      </c>
      <c r="G172" s="3">
        <v>0.82</v>
      </c>
      <c r="H172" s="17" t="s">
        <v>433</v>
      </c>
      <c r="I172" s="3">
        <v>2134.33</v>
      </c>
      <c r="J172" s="4">
        <v>45767</v>
      </c>
      <c r="K172" s="3" t="s">
        <v>20</v>
      </c>
      <c r="L172" s="3" t="s">
        <v>32</v>
      </c>
      <c r="M172" s="5">
        <v>836.99</v>
      </c>
    </row>
    <row r="173" spans="1:13">
      <c r="A173" s="6">
        <v>2121</v>
      </c>
      <c r="B173" s="6" t="s">
        <v>222</v>
      </c>
      <c r="C173" s="6" t="s">
        <v>22</v>
      </c>
      <c r="D173" s="6" t="s">
        <v>23</v>
      </c>
      <c r="E173" s="6">
        <v>2</v>
      </c>
      <c r="F173" s="6">
        <v>1209.8</v>
      </c>
      <c r="G173" s="3">
        <v>0</v>
      </c>
      <c r="H173" s="17" t="s">
        <v>432</v>
      </c>
      <c r="I173" s="6">
        <v>2419.6</v>
      </c>
      <c r="J173" s="7">
        <v>45363</v>
      </c>
      <c r="K173" s="6" t="s">
        <v>20</v>
      </c>
      <c r="L173" s="6" t="s">
        <v>27</v>
      </c>
      <c r="M173" s="8">
        <v>959.68</v>
      </c>
    </row>
    <row r="174" spans="1:13">
      <c r="A174" s="3">
        <v>2143</v>
      </c>
      <c r="B174" s="3" t="s">
        <v>223</v>
      </c>
      <c r="C174" s="3" t="s">
        <v>29</v>
      </c>
      <c r="D174" s="3" t="s">
        <v>78</v>
      </c>
      <c r="E174" s="3">
        <v>3</v>
      </c>
      <c r="F174" s="3">
        <v>662.52</v>
      </c>
      <c r="G174" s="3">
        <v>0.96</v>
      </c>
      <c r="H174" s="17" t="s">
        <v>433</v>
      </c>
      <c r="I174" s="3">
        <v>79.5</v>
      </c>
      <c r="J174" s="4">
        <v>45680</v>
      </c>
      <c r="K174" s="3" t="s">
        <v>20</v>
      </c>
      <c r="L174" s="3" t="s">
        <v>16</v>
      </c>
      <c r="M174" s="5">
        <v>2079.0700000000002</v>
      </c>
    </row>
    <row r="175" spans="1:13">
      <c r="A175" s="6">
        <v>2144</v>
      </c>
      <c r="B175" s="6" t="s">
        <v>224</v>
      </c>
      <c r="C175" s="6" t="s">
        <v>13</v>
      </c>
      <c r="D175" s="6" t="s">
        <v>74</v>
      </c>
      <c r="E175" s="6">
        <v>1</v>
      </c>
      <c r="F175" s="6">
        <v>906.82</v>
      </c>
      <c r="G175" s="3">
        <v>0.92</v>
      </c>
      <c r="H175" s="17" t="s">
        <v>433</v>
      </c>
      <c r="I175" s="6">
        <v>72.55</v>
      </c>
      <c r="J175" s="7">
        <v>45661</v>
      </c>
      <c r="K175" s="6" t="s">
        <v>24</v>
      </c>
      <c r="L175" s="6" t="s">
        <v>27</v>
      </c>
      <c r="M175" s="8">
        <v>2348.39</v>
      </c>
    </row>
    <row r="176" spans="1:13">
      <c r="A176" s="3">
        <v>2176</v>
      </c>
      <c r="B176" s="3" t="s">
        <v>225</v>
      </c>
      <c r="C176" s="3" t="s">
        <v>13</v>
      </c>
      <c r="D176" s="3" t="s">
        <v>14</v>
      </c>
      <c r="E176" s="3">
        <v>6</v>
      </c>
      <c r="F176" s="3">
        <v>4954.67</v>
      </c>
      <c r="G176" s="3">
        <v>0</v>
      </c>
      <c r="H176" s="17" t="s">
        <v>432</v>
      </c>
      <c r="I176" s="3">
        <v>29728.02</v>
      </c>
      <c r="J176" s="4">
        <v>45852</v>
      </c>
      <c r="K176" s="3" t="s">
        <v>31</v>
      </c>
      <c r="L176" s="3" t="s">
        <v>27</v>
      </c>
      <c r="M176" s="5">
        <v>2176.54</v>
      </c>
    </row>
    <row r="177" spans="1:13">
      <c r="A177" s="6">
        <v>2190</v>
      </c>
      <c r="B177" s="6" t="s">
        <v>226</v>
      </c>
      <c r="C177" s="6" t="s">
        <v>22</v>
      </c>
      <c r="D177" s="6" t="s">
        <v>23</v>
      </c>
      <c r="E177" s="6">
        <v>3</v>
      </c>
      <c r="F177" s="6">
        <v>3887.5</v>
      </c>
      <c r="G177" s="3">
        <v>0</v>
      </c>
      <c r="H177" s="17" t="s">
        <v>432</v>
      </c>
      <c r="I177" s="6">
        <v>11662.5</v>
      </c>
      <c r="J177" s="7">
        <v>45633</v>
      </c>
      <c r="K177" s="6" t="s">
        <v>43</v>
      </c>
      <c r="L177" s="6" t="s">
        <v>27</v>
      </c>
      <c r="M177" s="8">
        <v>1787.25</v>
      </c>
    </row>
    <row r="178" spans="1:13">
      <c r="A178" s="3">
        <v>2214</v>
      </c>
      <c r="B178" s="3" t="s">
        <v>227</v>
      </c>
      <c r="C178" s="3" t="s">
        <v>29</v>
      </c>
      <c r="D178" s="3" t="s">
        <v>83</v>
      </c>
      <c r="E178" s="3">
        <v>1</v>
      </c>
      <c r="F178" s="3">
        <v>4854.03</v>
      </c>
      <c r="G178" s="3">
        <v>0</v>
      </c>
      <c r="H178" s="17" t="s">
        <v>432</v>
      </c>
      <c r="I178" s="3">
        <v>4854.03</v>
      </c>
      <c r="J178" s="4">
        <v>45577</v>
      </c>
      <c r="K178" s="3" t="s">
        <v>24</v>
      </c>
      <c r="L178" s="3" t="s">
        <v>27</v>
      </c>
      <c r="M178" s="5">
        <v>864.66</v>
      </c>
    </row>
    <row r="179" spans="1:13">
      <c r="A179" s="6">
        <v>2219</v>
      </c>
      <c r="B179" s="6" t="s">
        <v>228</v>
      </c>
      <c r="C179" s="6" t="s">
        <v>34</v>
      </c>
      <c r="D179" s="6" t="s">
        <v>35</v>
      </c>
      <c r="E179" s="6">
        <v>4</v>
      </c>
      <c r="F179" s="6">
        <v>2403.9499999999998</v>
      </c>
      <c r="G179" s="3">
        <v>0</v>
      </c>
      <c r="H179" s="17" t="s">
        <v>432</v>
      </c>
      <c r="I179" s="6">
        <v>9615.7999999999993</v>
      </c>
      <c r="J179" s="7">
        <v>45588</v>
      </c>
      <c r="K179" s="6" t="s">
        <v>15</v>
      </c>
      <c r="L179" s="6" t="s">
        <v>32</v>
      </c>
      <c r="M179" s="8">
        <v>858.23</v>
      </c>
    </row>
    <row r="180" spans="1:13">
      <c r="A180" s="3">
        <v>2220</v>
      </c>
      <c r="B180" s="3" t="s">
        <v>229</v>
      </c>
      <c r="C180" s="3" t="s">
        <v>52</v>
      </c>
      <c r="D180" s="3" t="s">
        <v>62</v>
      </c>
      <c r="E180" s="3">
        <v>1</v>
      </c>
      <c r="F180" s="3">
        <v>2170.71</v>
      </c>
      <c r="G180" s="3">
        <v>0.57999999999999996</v>
      </c>
      <c r="H180" s="17" t="s">
        <v>433</v>
      </c>
      <c r="I180" s="3">
        <v>911.7</v>
      </c>
      <c r="J180" s="4">
        <v>45810</v>
      </c>
      <c r="K180" s="3" t="s">
        <v>20</v>
      </c>
      <c r="L180" s="3" t="s">
        <v>27</v>
      </c>
      <c r="M180" s="5">
        <v>1689.68</v>
      </c>
    </row>
    <row r="181" spans="1:13">
      <c r="A181" s="6">
        <v>2223</v>
      </c>
      <c r="B181" s="6" t="s">
        <v>230</v>
      </c>
      <c r="C181" s="6" t="s">
        <v>22</v>
      </c>
      <c r="D181" s="6" t="s">
        <v>26</v>
      </c>
      <c r="E181" s="6">
        <v>1</v>
      </c>
      <c r="F181" s="6">
        <v>3445.9</v>
      </c>
      <c r="G181" s="3">
        <v>0.81</v>
      </c>
      <c r="H181" s="17" t="s">
        <v>433</v>
      </c>
      <c r="I181" s="6">
        <v>654.72</v>
      </c>
      <c r="J181" s="7">
        <v>45654</v>
      </c>
      <c r="K181" s="6" t="s">
        <v>15</v>
      </c>
      <c r="L181" s="6" t="s">
        <v>16</v>
      </c>
      <c r="M181" s="8">
        <v>2374.1799999999998</v>
      </c>
    </row>
    <row r="182" spans="1:13">
      <c r="A182" s="3">
        <v>2233</v>
      </c>
      <c r="B182" s="3" t="s">
        <v>231</v>
      </c>
      <c r="C182" s="3" t="s">
        <v>29</v>
      </c>
      <c r="D182" s="3" t="s">
        <v>83</v>
      </c>
      <c r="E182" s="3">
        <v>1</v>
      </c>
      <c r="F182" s="3">
        <v>4604.8500000000004</v>
      </c>
      <c r="G182" s="3">
        <v>0.14000000000000001</v>
      </c>
      <c r="H182" s="17" t="s">
        <v>433</v>
      </c>
      <c r="I182" s="3">
        <v>3960.17</v>
      </c>
      <c r="J182" s="4">
        <v>45854</v>
      </c>
      <c r="K182" s="3" t="s">
        <v>31</v>
      </c>
      <c r="L182" s="3" t="s">
        <v>27</v>
      </c>
      <c r="M182" s="5">
        <v>-627.16999999999996</v>
      </c>
    </row>
    <row r="183" spans="1:13">
      <c r="A183" s="6">
        <v>2238</v>
      </c>
      <c r="B183" s="6" t="s">
        <v>232</v>
      </c>
      <c r="C183" s="6" t="s">
        <v>34</v>
      </c>
      <c r="D183" s="6" t="s">
        <v>85</v>
      </c>
      <c r="E183" s="6">
        <v>1</v>
      </c>
      <c r="F183" s="6">
        <v>4808.3500000000004</v>
      </c>
      <c r="G183" s="3">
        <v>0</v>
      </c>
      <c r="H183" s="17" t="s">
        <v>432</v>
      </c>
      <c r="I183" s="6">
        <v>4808.3500000000004</v>
      </c>
      <c r="J183" s="7">
        <v>45744</v>
      </c>
      <c r="K183" s="6" t="s">
        <v>24</v>
      </c>
      <c r="L183" s="6" t="s">
        <v>27</v>
      </c>
      <c r="M183" s="8">
        <v>-282.61</v>
      </c>
    </row>
    <row r="184" spans="1:13">
      <c r="A184" s="3">
        <v>2242</v>
      </c>
      <c r="B184" s="3" t="s">
        <v>233</v>
      </c>
      <c r="C184" s="3" t="s">
        <v>18</v>
      </c>
      <c r="D184" s="3" t="s">
        <v>19</v>
      </c>
      <c r="E184" s="3">
        <v>6</v>
      </c>
      <c r="F184" s="3">
        <v>4450.17</v>
      </c>
      <c r="G184" s="3">
        <v>0</v>
      </c>
      <c r="H184" s="17" t="s">
        <v>432</v>
      </c>
      <c r="I184" s="3">
        <v>26701.02</v>
      </c>
      <c r="J184" s="4">
        <v>45613</v>
      </c>
      <c r="K184" s="3" t="s">
        <v>24</v>
      </c>
      <c r="L184" s="3" t="s">
        <v>27</v>
      </c>
      <c r="M184" s="5">
        <v>-96.55</v>
      </c>
    </row>
    <row r="185" spans="1:13">
      <c r="A185" s="6">
        <v>2252</v>
      </c>
      <c r="B185" s="6" t="s">
        <v>234</v>
      </c>
      <c r="C185" s="6" t="s">
        <v>18</v>
      </c>
      <c r="D185" s="6" t="s">
        <v>57</v>
      </c>
      <c r="E185" s="6">
        <v>6</v>
      </c>
      <c r="F185" s="6">
        <v>2755.37</v>
      </c>
      <c r="G185" s="3">
        <v>0</v>
      </c>
      <c r="H185" s="17" t="s">
        <v>432</v>
      </c>
      <c r="I185" s="6">
        <v>16532.22</v>
      </c>
      <c r="J185" s="7">
        <v>45793</v>
      </c>
      <c r="K185" s="6" t="s">
        <v>43</v>
      </c>
      <c r="L185" s="6" t="s">
        <v>32</v>
      </c>
      <c r="M185" s="8">
        <v>613.59</v>
      </c>
    </row>
    <row r="186" spans="1:13">
      <c r="A186" s="3">
        <v>2255</v>
      </c>
      <c r="B186" s="3" t="s">
        <v>235</v>
      </c>
      <c r="C186" s="3" t="s">
        <v>52</v>
      </c>
      <c r="D186" s="3" t="s">
        <v>62</v>
      </c>
      <c r="E186" s="3">
        <v>2</v>
      </c>
      <c r="F186" s="3">
        <v>4478.08</v>
      </c>
      <c r="G186" s="3">
        <v>0</v>
      </c>
      <c r="H186" s="17" t="s">
        <v>432</v>
      </c>
      <c r="I186" s="3">
        <v>8956.16</v>
      </c>
      <c r="J186" s="4">
        <v>45782</v>
      </c>
      <c r="K186" s="3" t="s">
        <v>40</v>
      </c>
      <c r="L186" s="3" t="s">
        <v>27</v>
      </c>
      <c r="M186" s="5">
        <v>2090.38</v>
      </c>
    </row>
    <row r="187" spans="1:13">
      <c r="A187" s="6">
        <v>2259</v>
      </c>
      <c r="B187" s="6" t="s">
        <v>236</v>
      </c>
      <c r="C187" s="6" t="s">
        <v>18</v>
      </c>
      <c r="D187" s="6" t="s">
        <v>57</v>
      </c>
      <c r="E187" s="6">
        <v>1</v>
      </c>
      <c r="F187" s="6">
        <v>2854.4</v>
      </c>
      <c r="G187" s="3">
        <v>0</v>
      </c>
      <c r="H187" s="17" t="s">
        <v>432</v>
      </c>
      <c r="I187" s="6">
        <v>2854.4</v>
      </c>
      <c r="J187" s="7">
        <v>45508</v>
      </c>
      <c r="K187" s="6" t="s">
        <v>20</v>
      </c>
      <c r="L187" s="6" t="s">
        <v>32</v>
      </c>
      <c r="M187" s="8">
        <v>542.9</v>
      </c>
    </row>
    <row r="188" spans="1:13">
      <c r="A188" s="3">
        <v>2270</v>
      </c>
      <c r="B188" s="3" t="s">
        <v>237</v>
      </c>
      <c r="C188" s="3" t="s">
        <v>29</v>
      </c>
      <c r="D188" s="3" t="s">
        <v>30</v>
      </c>
      <c r="E188" s="3">
        <v>1</v>
      </c>
      <c r="F188" s="3">
        <v>2710.56</v>
      </c>
      <c r="G188" s="3">
        <v>0</v>
      </c>
      <c r="H188" s="17" t="s">
        <v>432</v>
      </c>
      <c r="I188" s="3">
        <v>2710.56</v>
      </c>
      <c r="J188" s="4">
        <v>45783</v>
      </c>
      <c r="K188" s="3" t="s">
        <v>43</v>
      </c>
      <c r="L188" s="3" t="s">
        <v>27</v>
      </c>
      <c r="M188" s="5">
        <v>2414.4699999999998</v>
      </c>
    </row>
    <row r="189" spans="1:13">
      <c r="A189" s="6">
        <v>2272</v>
      </c>
      <c r="B189" s="6" t="s">
        <v>238</v>
      </c>
      <c r="C189" s="6" t="s">
        <v>13</v>
      </c>
      <c r="D189" s="6" t="s">
        <v>67</v>
      </c>
      <c r="E189" s="6">
        <v>4</v>
      </c>
      <c r="F189" s="6">
        <v>2540.1</v>
      </c>
      <c r="G189" s="3">
        <v>0.69</v>
      </c>
      <c r="H189" s="17" t="s">
        <v>433</v>
      </c>
      <c r="I189" s="6">
        <v>3149.72</v>
      </c>
      <c r="J189" s="7">
        <v>45803</v>
      </c>
      <c r="K189" s="6" t="s">
        <v>15</v>
      </c>
      <c r="L189" s="6" t="s">
        <v>32</v>
      </c>
      <c r="M189" s="8">
        <v>733.06</v>
      </c>
    </row>
    <row r="190" spans="1:13">
      <c r="A190" s="3">
        <v>2273</v>
      </c>
      <c r="B190" s="3" t="s">
        <v>239</v>
      </c>
      <c r="C190" s="3" t="s">
        <v>22</v>
      </c>
      <c r="D190" s="3" t="s">
        <v>64</v>
      </c>
      <c r="E190" s="3">
        <v>6</v>
      </c>
      <c r="F190" s="3">
        <v>3064.21</v>
      </c>
      <c r="G190" s="3">
        <v>0</v>
      </c>
      <c r="H190" s="17" t="s">
        <v>432</v>
      </c>
      <c r="I190" s="3">
        <v>18385.259999999998</v>
      </c>
      <c r="J190" s="4">
        <v>45571</v>
      </c>
      <c r="K190" s="3" t="s">
        <v>43</v>
      </c>
      <c r="L190" s="3" t="s">
        <v>32</v>
      </c>
      <c r="M190" s="5">
        <v>1569.81</v>
      </c>
    </row>
    <row r="191" spans="1:13">
      <c r="A191" s="6">
        <v>2279</v>
      </c>
      <c r="B191" s="6" t="s">
        <v>240</v>
      </c>
      <c r="C191" s="6" t="s">
        <v>52</v>
      </c>
      <c r="D191" s="6" t="s">
        <v>62</v>
      </c>
      <c r="E191" s="6">
        <v>6</v>
      </c>
      <c r="F191" s="6">
        <v>3294.21</v>
      </c>
      <c r="G191" s="3">
        <v>0.89</v>
      </c>
      <c r="H191" s="17" t="s">
        <v>433</v>
      </c>
      <c r="I191" s="6">
        <v>2174.1799999999998</v>
      </c>
      <c r="J191" s="7">
        <v>45572</v>
      </c>
      <c r="K191" s="6" t="s">
        <v>40</v>
      </c>
      <c r="L191" s="6" t="s">
        <v>32</v>
      </c>
      <c r="M191" s="8">
        <v>1874.46</v>
      </c>
    </row>
    <row r="192" spans="1:13">
      <c r="A192" s="3">
        <v>2290</v>
      </c>
      <c r="B192" s="3" t="s">
        <v>241</v>
      </c>
      <c r="C192" s="3" t="s">
        <v>29</v>
      </c>
      <c r="D192" s="3" t="s">
        <v>83</v>
      </c>
      <c r="E192" s="3">
        <v>4</v>
      </c>
      <c r="F192" s="3">
        <v>1405.39</v>
      </c>
      <c r="G192" s="3">
        <v>0</v>
      </c>
      <c r="H192" s="17" t="s">
        <v>432</v>
      </c>
      <c r="I192" s="3">
        <v>5621.56</v>
      </c>
      <c r="J192" s="4">
        <v>45527</v>
      </c>
      <c r="K192" s="3" t="s">
        <v>20</v>
      </c>
      <c r="L192" s="3" t="s">
        <v>32</v>
      </c>
      <c r="M192" s="5">
        <v>712.37</v>
      </c>
    </row>
    <row r="193" spans="1:13">
      <c r="A193" s="6">
        <v>2313</v>
      </c>
      <c r="B193" s="6" t="s">
        <v>242</v>
      </c>
      <c r="C193" s="6" t="s">
        <v>29</v>
      </c>
      <c r="D193" s="6" t="s">
        <v>83</v>
      </c>
      <c r="E193" s="6">
        <v>2</v>
      </c>
      <c r="F193" s="6">
        <v>2440.38</v>
      </c>
      <c r="G193" s="3">
        <v>0</v>
      </c>
      <c r="H193" s="17" t="s">
        <v>432</v>
      </c>
      <c r="I193" s="6">
        <v>4880.76</v>
      </c>
      <c r="J193" s="7">
        <v>45724</v>
      </c>
      <c r="K193" s="6" t="s">
        <v>20</v>
      </c>
      <c r="L193" s="6" t="s">
        <v>16</v>
      </c>
      <c r="M193" s="8">
        <v>-899.53</v>
      </c>
    </row>
    <row r="194" spans="1:13">
      <c r="A194" s="3">
        <v>2316</v>
      </c>
      <c r="B194" s="3" t="s">
        <v>243</v>
      </c>
      <c r="C194" s="3" t="s">
        <v>22</v>
      </c>
      <c r="D194" s="3" t="s">
        <v>64</v>
      </c>
      <c r="E194" s="3">
        <v>4</v>
      </c>
      <c r="F194" s="3">
        <v>1529.48</v>
      </c>
      <c r="G194" s="3">
        <v>0</v>
      </c>
      <c r="H194" s="17" t="s">
        <v>432</v>
      </c>
      <c r="I194" s="3">
        <v>6117.92</v>
      </c>
      <c r="J194" s="4">
        <v>45410</v>
      </c>
      <c r="K194" s="3" t="s">
        <v>15</v>
      </c>
      <c r="L194" s="3" t="s">
        <v>32</v>
      </c>
      <c r="M194" s="5">
        <v>1325.56</v>
      </c>
    </row>
    <row r="195" spans="1:13">
      <c r="A195" s="6">
        <v>2331</v>
      </c>
      <c r="B195" s="6" t="s">
        <v>244</v>
      </c>
      <c r="C195" s="6" t="s">
        <v>29</v>
      </c>
      <c r="D195" s="6" t="s">
        <v>83</v>
      </c>
      <c r="E195" s="6">
        <v>2</v>
      </c>
      <c r="F195" s="6">
        <v>2967.49</v>
      </c>
      <c r="G195" s="3">
        <v>0</v>
      </c>
      <c r="H195" s="17" t="s">
        <v>432</v>
      </c>
      <c r="I195" s="6">
        <v>5934.98</v>
      </c>
      <c r="J195" s="7">
        <v>45781</v>
      </c>
      <c r="K195" s="6" t="s">
        <v>40</v>
      </c>
      <c r="L195" s="6" t="s">
        <v>27</v>
      </c>
      <c r="M195" s="8">
        <v>1890.42</v>
      </c>
    </row>
    <row r="196" spans="1:13">
      <c r="A196" s="3">
        <v>2335</v>
      </c>
      <c r="B196" s="3" t="s">
        <v>245</v>
      </c>
      <c r="C196" s="3" t="s">
        <v>52</v>
      </c>
      <c r="D196" s="3" t="s">
        <v>53</v>
      </c>
      <c r="E196" s="3">
        <v>1</v>
      </c>
      <c r="F196" s="3">
        <v>3508.21</v>
      </c>
      <c r="G196" s="3">
        <v>0.62</v>
      </c>
      <c r="H196" s="17" t="s">
        <v>433</v>
      </c>
      <c r="I196" s="3">
        <v>1333.12</v>
      </c>
      <c r="J196" s="4">
        <v>45586</v>
      </c>
      <c r="K196" s="3" t="s">
        <v>20</v>
      </c>
      <c r="L196" s="3" t="s">
        <v>16</v>
      </c>
      <c r="M196" s="5">
        <v>-309.14999999999998</v>
      </c>
    </row>
    <row r="197" spans="1:13">
      <c r="A197" s="6">
        <v>2338</v>
      </c>
      <c r="B197" s="6" t="s">
        <v>246</v>
      </c>
      <c r="C197" s="6" t="s">
        <v>29</v>
      </c>
      <c r="D197" s="6" t="s">
        <v>78</v>
      </c>
      <c r="E197" s="6">
        <v>5</v>
      </c>
      <c r="F197" s="6">
        <v>1378.76</v>
      </c>
      <c r="G197" s="3">
        <v>0.19</v>
      </c>
      <c r="H197" s="17" t="s">
        <v>433</v>
      </c>
      <c r="I197" s="6">
        <v>5583.98</v>
      </c>
      <c r="J197" s="7">
        <v>45699</v>
      </c>
      <c r="K197" s="6" t="s">
        <v>15</v>
      </c>
      <c r="L197" s="6" t="s">
        <v>16</v>
      </c>
      <c r="M197" s="8">
        <v>2284.9699999999998</v>
      </c>
    </row>
    <row r="198" spans="1:13">
      <c r="A198" s="3">
        <v>2339</v>
      </c>
      <c r="B198" s="3" t="s">
        <v>247</v>
      </c>
      <c r="C198" s="3" t="s">
        <v>22</v>
      </c>
      <c r="D198" s="3" t="s">
        <v>64</v>
      </c>
      <c r="E198" s="3">
        <v>1</v>
      </c>
      <c r="F198" s="3">
        <v>1289.24</v>
      </c>
      <c r="G198" s="3">
        <v>0</v>
      </c>
      <c r="H198" s="17" t="s">
        <v>432</v>
      </c>
      <c r="I198" s="3">
        <v>1289.24</v>
      </c>
      <c r="J198" s="4">
        <v>45595</v>
      </c>
      <c r="K198" s="3" t="s">
        <v>15</v>
      </c>
      <c r="L198" s="3" t="s">
        <v>16</v>
      </c>
      <c r="M198" s="5">
        <v>555.48</v>
      </c>
    </row>
    <row r="199" spans="1:13">
      <c r="A199" s="6">
        <v>2345</v>
      </c>
      <c r="B199" s="6" t="s">
        <v>248</v>
      </c>
      <c r="C199" s="6" t="s">
        <v>22</v>
      </c>
      <c r="D199" s="6" t="s">
        <v>39</v>
      </c>
      <c r="E199" s="6">
        <v>1</v>
      </c>
      <c r="F199" s="6">
        <v>1095.03</v>
      </c>
      <c r="G199" s="3">
        <v>0</v>
      </c>
      <c r="H199" s="17" t="s">
        <v>432</v>
      </c>
      <c r="I199" s="6">
        <v>1095.03</v>
      </c>
      <c r="J199" s="7">
        <v>45645</v>
      </c>
      <c r="K199" s="6" t="s">
        <v>24</v>
      </c>
      <c r="L199" s="6" t="s">
        <v>32</v>
      </c>
      <c r="M199" s="8">
        <v>1317.75</v>
      </c>
    </row>
    <row r="200" spans="1:13">
      <c r="A200" s="3">
        <v>2346</v>
      </c>
      <c r="B200" s="3" t="s">
        <v>249</v>
      </c>
      <c r="C200" s="3" t="s">
        <v>22</v>
      </c>
      <c r="D200" s="3" t="s">
        <v>23</v>
      </c>
      <c r="E200" s="3">
        <v>2</v>
      </c>
      <c r="F200" s="3">
        <v>4922.99</v>
      </c>
      <c r="G200" s="3">
        <v>0</v>
      </c>
      <c r="H200" s="17" t="s">
        <v>432</v>
      </c>
      <c r="I200" s="3">
        <v>9845.98</v>
      </c>
      <c r="J200" s="4">
        <v>45612</v>
      </c>
      <c r="K200" s="3" t="s">
        <v>20</v>
      </c>
      <c r="L200" s="3" t="s">
        <v>16</v>
      </c>
      <c r="M200" s="5">
        <v>-712.37</v>
      </c>
    </row>
    <row r="201" spans="1:13">
      <c r="A201" s="6">
        <v>2350</v>
      </c>
      <c r="B201" s="6" t="s">
        <v>250</v>
      </c>
      <c r="C201" s="6" t="s">
        <v>18</v>
      </c>
      <c r="D201" s="6" t="s">
        <v>42</v>
      </c>
      <c r="E201" s="6">
        <v>1</v>
      </c>
      <c r="F201" s="6">
        <v>3148.46</v>
      </c>
      <c r="G201" s="3">
        <v>0</v>
      </c>
      <c r="H201" s="17" t="s">
        <v>432</v>
      </c>
      <c r="I201" s="6">
        <v>3148.46</v>
      </c>
      <c r="J201" s="7">
        <v>45192</v>
      </c>
      <c r="K201" s="6" t="s">
        <v>20</v>
      </c>
      <c r="L201" s="6" t="s">
        <v>16</v>
      </c>
      <c r="M201" s="8">
        <v>-165.49</v>
      </c>
    </row>
    <row r="202" spans="1:13">
      <c r="A202" s="3">
        <v>2357</v>
      </c>
      <c r="B202" s="3" t="s">
        <v>251</v>
      </c>
      <c r="C202" s="3" t="s">
        <v>22</v>
      </c>
      <c r="D202" s="3" t="s">
        <v>64</v>
      </c>
      <c r="E202" s="3">
        <v>5</v>
      </c>
      <c r="F202" s="3">
        <v>509.54</v>
      </c>
      <c r="G202" s="3">
        <v>0</v>
      </c>
      <c r="H202" s="17" t="s">
        <v>432</v>
      </c>
      <c r="I202" s="3">
        <v>2547.6999999999998</v>
      </c>
      <c r="J202" s="4">
        <v>45649</v>
      </c>
      <c r="K202" s="3" t="s">
        <v>43</v>
      </c>
      <c r="L202" s="3" t="s">
        <v>32</v>
      </c>
      <c r="M202" s="5">
        <v>2233.39</v>
      </c>
    </row>
    <row r="203" spans="1:13">
      <c r="A203" s="6">
        <v>2363</v>
      </c>
      <c r="B203" s="6" t="s">
        <v>252</v>
      </c>
      <c r="C203" s="6" t="s">
        <v>22</v>
      </c>
      <c r="D203" s="6" t="s">
        <v>23</v>
      </c>
      <c r="E203" s="6">
        <v>1</v>
      </c>
      <c r="F203" s="6">
        <v>3640.29</v>
      </c>
      <c r="G203" s="3">
        <v>0.86</v>
      </c>
      <c r="H203" s="17" t="s">
        <v>433</v>
      </c>
      <c r="I203" s="6">
        <v>509.64</v>
      </c>
      <c r="J203" s="7">
        <v>45628</v>
      </c>
      <c r="K203" s="6" t="s">
        <v>31</v>
      </c>
      <c r="L203" s="6" t="s">
        <v>32</v>
      </c>
      <c r="M203" s="8">
        <v>879.32</v>
      </c>
    </row>
    <row r="204" spans="1:13">
      <c r="A204" s="3">
        <v>2366</v>
      </c>
      <c r="B204" s="3" t="s">
        <v>253</v>
      </c>
      <c r="C204" s="3" t="s">
        <v>18</v>
      </c>
      <c r="D204" s="3" t="s">
        <v>57</v>
      </c>
      <c r="E204" s="3">
        <v>6</v>
      </c>
      <c r="F204" s="3">
        <v>429.37</v>
      </c>
      <c r="G204" s="3">
        <v>0</v>
      </c>
      <c r="H204" s="17" t="s">
        <v>432</v>
      </c>
      <c r="I204" s="3">
        <v>2576.2199999999998</v>
      </c>
      <c r="J204" s="4">
        <v>45472</v>
      </c>
      <c r="K204" s="3" t="s">
        <v>15</v>
      </c>
      <c r="L204" s="3" t="s">
        <v>16</v>
      </c>
      <c r="M204" s="5">
        <v>-21.4</v>
      </c>
    </row>
    <row r="205" spans="1:13">
      <c r="A205" s="6">
        <v>2367</v>
      </c>
      <c r="B205" s="6" t="s">
        <v>254</v>
      </c>
      <c r="C205" s="6" t="s">
        <v>18</v>
      </c>
      <c r="D205" s="6" t="s">
        <v>57</v>
      </c>
      <c r="E205" s="6">
        <v>3</v>
      </c>
      <c r="F205" s="6">
        <v>500.41</v>
      </c>
      <c r="G205" s="3">
        <v>0</v>
      </c>
      <c r="H205" s="17" t="s">
        <v>432</v>
      </c>
      <c r="I205" s="6">
        <v>1501.23</v>
      </c>
      <c r="J205" s="7">
        <v>45648</v>
      </c>
      <c r="K205" s="6" t="s">
        <v>15</v>
      </c>
      <c r="L205" s="6" t="s">
        <v>27</v>
      </c>
      <c r="M205" s="8">
        <v>1732.45</v>
      </c>
    </row>
    <row r="206" spans="1:13">
      <c r="A206" s="3">
        <v>2371</v>
      </c>
      <c r="B206" s="3" t="s">
        <v>255</v>
      </c>
      <c r="C206" s="3" t="s">
        <v>18</v>
      </c>
      <c r="D206" s="3" t="s">
        <v>19</v>
      </c>
      <c r="E206" s="3">
        <v>3</v>
      </c>
      <c r="F206" s="3">
        <v>4467.25</v>
      </c>
      <c r="G206" s="3">
        <v>0</v>
      </c>
      <c r="H206" s="17" t="s">
        <v>432</v>
      </c>
      <c r="I206" s="3">
        <v>13401.75</v>
      </c>
      <c r="J206" s="4">
        <v>45814</v>
      </c>
      <c r="K206" s="3" t="s">
        <v>31</v>
      </c>
      <c r="L206" s="3" t="s">
        <v>27</v>
      </c>
      <c r="M206" s="5">
        <v>2388.5500000000002</v>
      </c>
    </row>
    <row r="207" spans="1:13">
      <c r="A207" s="6">
        <v>2377</v>
      </c>
      <c r="B207" s="6" t="s">
        <v>256</v>
      </c>
      <c r="C207" s="6" t="s">
        <v>34</v>
      </c>
      <c r="D207" s="6" t="s">
        <v>85</v>
      </c>
      <c r="E207" s="6">
        <v>4</v>
      </c>
      <c r="F207" s="6">
        <v>4458.4799999999996</v>
      </c>
      <c r="G207" s="3">
        <v>0</v>
      </c>
      <c r="H207" s="17" t="s">
        <v>432</v>
      </c>
      <c r="I207" s="6">
        <v>17833.919999999998</v>
      </c>
      <c r="J207" s="7">
        <v>45574</v>
      </c>
      <c r="K207" s="6" t="s">
        <v>20</v>
      </c>
      <c r="L207" s="6" t="s">
        <v>16</v>
      </c>
      <c r="M207" s="8">
        <v>631</v>
      </c>
    </row>
    <row r="208" spans="1:13">
      <c r="A208" s="3">
        <v>2379</v>
      </c>
      <c r="B208" s="3" t="s">
        <v>257</v>
      </c>
      <c r="C208" s="3" t="s">
        <v>13</v>
      </c>
      <c r="D208" s="3" t="s">
        <v>94</v>
      </c>
      <c r="E208" s="3">
        <v>6</v>
      </c>
      <c r="F208" s="3">
        <v>2188.7399999999998</v>
      </c>
      <c r="G208" s="3">
        <v>0</v>
      </c>
      <c r="H208" s="17" t="s">
        <v>432</v>
      </c>
      <c r="I208" s="3">
        <v>13132.44</v>
      </c>
      <c r="J208" s="4">
        <v>45343</v>
      </c>
      <c r="K208" s="3" t="s">
        <v>20</v>
      </c>
      <c r="L208" s="3" t="s">
        <v>32</v>
      </c>
      <c r="M208" s="5">
        <v>-885.72</v>
      </c>
    </row>
    <row r="209" spans="1:13">
      <c r="A209" s="6">
        <v>2384</v>
      </c>
      <c r="B209" s="6" t="s">
        <v>258</v>
      </c>
      <c r="C209" s="6" t="s">
        <v>13</v>
      </c>
      <c r="D209" s="6" t="s">
        <v>94</v>
      </c>
      <c r="E209" s="6">
        <v>3</v>
      </c>
      <c r="F209" s="6">
        <v>1625.58</v>
      </c>
      <c r="G209" s="3">
        <v>0.1</v>
      </c>
      <c r="H209" s="17" t="s">
        <v>433</v>
      </c>
      <c r="I209" s="6">
        <v>4389.07</v>
      </c>
      <c r="J209" s="7">
        <v>45854</v>
      </c>
      <c r="K209" s="6" t="s">
        <v>40</v>
      </c>
      <c r="L209" s="6" t="s">
        <v>27</v>
      </c>
      <c r="M209" s="8">
        <v>2368.5500000000002</v>
      </c>
    </row>
    <row r="210" spans="1:13">
      <c r="A210" s="3">
        <v>2392</v>
      </c>
      <c r="B210" s="3" t="s">
        <v>259</v>
      </c>
      <c r="C210" s="3" t="s">
        <v>52</v>
      </c>
      <c r="D210" s="3" t="s">
        <v>72</v>
      </c>
      <c r="E210" s="3">
        <v>3</v>
      </c>
      <c r="F210" s="3">
        <v>4550.95</v>
      </c>
      <c r="G210" s="3">
        <v>0</v>
      </c>
      <c r="H210" s="17" t="s">
        <v>432</v>
      </c>
      <c r="I210" s="3">
        <v>13652.85</v>
      </c>
      <c r="J210" s="4">
        <v>45736</v>
      </c>
      <c r="K210" s="3" t="s">
        <v>24</v>
      </c>
      <c r="L210" s="3" t="s">
        <v>27</v>
      </c>
      <c r="M210" s="5">
        <v>-951.64</v>
      </c>
    </row>
    <row r="211" spans="1:13">
      <c r="A211" s="6">
        <v>2393</v>
      </c>
      <c r="B211" s="6" t="s">
        <v>260</v>
      </c>
      <c r="C211" s="6" t="s">
        <v>13</v>
      </c>
      <c r="D211" s="6" t="s">
        <v>74</v>
      </c>
      <c r="E211" s="6">
        <v>5</v>
      </c>
      <c r="F211" s="6">
        <v>753.85</v>
      </c>
      <c r="G211" s="3">
        <v>0</v>
      </c>
      <c r="H211" s="17" t="s">
        <v>432</v>
      </c>
      <c r="I211" s="6">
        <v>3769.25</v>
      </c>
      <c r="J211" s="7">
        <v>45615</v>
      </c>
      <c r="K211" s="6" t="s">
        <v>43</v>
      </c>
      <c r="L211" s="6" t="s">
        <v>32</v>
      </c>
      <c r="M211" s="8">
        <v>251.29</v>
      </c>
    </row>
    <row r="212" spans="1:13">
      <c r="A212" s="3">
        <v>2399</v>
      </c>
      <c r="B212" s="3" t="s">
        <v>261</v>
      </c>
      <c r="C212" s="3" t="s">
        <v>22</v>
      </c>
      <c r="D212" s="3" t="s">
        <v>39</v>
      </c>
      <c r="E212" s="3">
        <v>2</v>
      </c>
      <c r="F212" s="3">
        <v>3643.5</v>
      </c>
      <c r="G212" s="3">
        <v>0</v>
      </c>
      <c r="H212" s="17" t="s">
        <v>432</v>
      </c>
      <c r="I212" s="3">
        <v>7287</v>
      </c>
      <c r="J212" s="4">
        <v>45508</v>
      </c>
      <c r="K212" s="3" t="s">
        <v>43</v>
      </c>
      <c r="L212" s="3" t="s">
        <v>16</v>
      </c>
      <c r="M212" s="5">
        <v>1452.6</v>
      </c>
    </row>
    <row r="213" spans="1:13">
      <c r="A213" s="6">
        <v>2401</v>
      </c>
      <c r="B213" s="6" t="s">
        <v>262</v>
      </c>
      <c r="C213" s="6" t="s">
        <v>52</v>
      </c>
      <c r="D213" s="6" t="s">
        <v>62</v>
      </c>
      <c r="E213" s="6">
        <v>2</v>
      </c>
      <c r="F213" s="6">
        <v>2159.6799999999998</v>
      </c>
      <c r="G213" s="3">
        <v>0</v>
      </c>
      <c r="H213" s="17" t="s">
        <v>432</v>
      </c>
      <c r="I213" s="6">
        <v>4319.3599999999997</v>
      </c>
      <c r="J213" s="7">
        <v>45666</v>
      </c>
      <c r="K213" s="6" t="s">
        <v>40</v>
      </c>
      <c r="L213" s="6" t="s">
        <v>27</v>
      </c>
      <c r="M213" s="8">
        <v>1873.8</v>
      </c>
    </row>
    <row r="214" spans="1:13">
      <c r="A214" s="3">
        <v>2419</v>
      </c>
      <c r="B214" s="3" t="s">
        <v>263</v>
      </c>
      <c r="C214" s="3" t="s">
        <v>18</v>
      </c>
      <c r="D214" s="3" t="s">
        <v>42</v>
      </c>
      <c r="E214" s="3">
        <v>2</v>
      </c>
      <c r="F214" s="3">
        <v>1832.16</v>
      </c>
      <c r="G214" s="3">
        <v>0</v>
      </c>
      <c r="H214" s="17" t="s">
        <v>432</v>
      </c>
      <c r="I214" s="3">
        <v>3664.32</v>
      </c>
      <c r="J214" s="4">
        <v>45552</v>
      </c>
      <c r="K214" s="3" t="s">
        <v>15</v>
      </c>
      <c r="L214" s="3" t="s">
        <v>32</v>
      </c>
      <c r="M214" s="5">
        <v>2843.62</v>
      </c>
    </row>
    <row r="215" spans="1:13">
      <c r="A215" s="6">
        <v>2421</v>
      </c>
      <c r="B215" s="6" t="s">
        <v>264</v>
      </c>
      <c r="C215" s="6" t="s">
        <v>52</v>
      </c>
      <c r="D215" s="6" t="s">
        <v>53</v>
      </c>
      <c r="E215" s="6">
        <v>4</v>
      </c>
      <c r="F215" s="6">
        <v>4411.3900000000003</v>
      </c>
      <c r="G215" s="3">
        <v>0</v>
      </c>
      <c r="H215" s="17" t="s">
        <v>432</v>
      </c>
      <c r="I215" s="6">
        <v>17645.560000000001</v>
      </c>
      <c r="J215" s="7">
        <v>45516</v>
      </c>
      <c r="K215" s="6" t="s">
        <v>31</v>
      </c>
      <c r="L215" s="6" t="s">
        <v>27</v>
      </c>
      <c r="M215" s="8">
        <v>-501.29</v>
      </c>
    </row>
    <row r="216" spans="1:13">
      <c r="A216" s="3">
        <v>2424</v>
      </c>
      <c r="B216" s="3" t="s">
        <v>265</v>
      </c>
      <c r="C216" s="3" t="s">
        <v>18</v>
      </c>
      <c r="D216" s="3" t="s">
        <v>19</v>
      </c>
      <c r="E216" s="3">
        <v>5</v>
      </c>
      <c r="F216" s="3">
        <v>2476.15</v>
      </c>
      <c r="G216" s="3">
        <v>0</v>
      </c>
      <c r="H216" s="17" t="s">
        <v>432</v>
      </c>
      <c r="I216" s="3">
        <v>12380.75</v>
      </c>
      <c r="J216" s="4">
        <v>45279</v>
      </c>
      <c r="K216" s="3" t="s">
        <v>40</v>
      </c>
      <c r="L216" s="3" t="s">
        <v>32</v>
      </c>
      <c r="M216" s="5">
        <v>387.88</v>
      </c>
    </row>
    <row r="217" spans="1:13">
      <c r="A217" s="6">
        <v>2427</v>
      </c>
      <c r="B217" s="6" t="s">
        <v>266</v>
      </c>
      <c r="C217" s="6" t="s">
        <v>34</v>
      </c>
      <c r="D217" s="6" t="s">
        <v>85</v>
      </c>
      <c r="E217" s="6">
        <v>5</v>
      </c>
      <c r="F217" s="6">
        <v>1510.89</v>
      </c>
      <c r="G217" s="3">
        <v>0</v>
      </c>
      <c r="H217" s="17" t="s">
        <v>432</v>
      </c>
      <c r="I217" s="6">
        <v>7554.45</v>
      </c>
      <c r="J217" s="7">
        <v>45611</v>
      </c>
      <c r="K217" s="6" t="s">
        <v>20</v>
      </c>
      <c r="L217" s="6" t="s">
        <v>16</v>
      </c>
      <c r="M217" s="8">
        <v>2959.19</v>
      </c>
    </row>
    <row r="218" spans="1:13">
      <c r="A218" s="3">
        <v>2429</v>
      </c>
      <c r="B218" s="3" t="s">
        <v>267</v>
      </c>
      <c r="C218" s="3" t="s">
        <v>18</v>
      </c>
      <c r="D218" s="3" t="s">
        <v>19</v>
      </c>
      <c r="E218" s="3">
        <v>1</v>
      </c>
      <c r="F218" s="3">
        <v>4193.1000000000004</v>
      </c>
      <c r="G218" s="3">
        <v>0</v>
      </c>
      <c r="H218" s="17" t="s">
        <v>432</v>
      </c>
      <c r="I218" s="3">
        <v>4193.1000000000004</v>
      </c>
      <c r="J218" s="4">
        <v>45561</v>
      </c>
      <c r="K218" s="3" t="s">
        <v>31</v>
      </c>
      <c r="L218" s="3" t="s">
        <v>32</v>
      </c>
      <c r="M218" s="5">
        <v>436.03</v>
      </c>
    </row>
    <row r="219" spans="1:13">
      <c r="A219" s="6">
        <v>2443</v>
      </c>
      <c r="B219" s="6" t="s">
        <v>268</v>
      </c>
      <c r="C219" s="6" t="s">
        <v>34</v>
      </c>
      <c r="D219" s="6" t="s">
        <v>35</v>
      </c>
      <c r="E219" s="6">
        <v>1</v>
      </c>
      <c r="F219" s="6">
        <v>4981.8599999999997</v>
      </c>
      <c r="G219" s="3">
        <v>0</v>
      </c>
      <c r="H219" s="17" t="s">
        <v>432</v>
      </c>
      <c r="I219" s="6">
        <v>4981.8599999999997</v>
      </c>
      <c r="J219" s="7">
        <v>45562</v>
      </c>
      <c r="K219" s="6" t="s">
        <v>40</v>
      </c>
      <c r="L219" s="6" t="s">
        <v>27</v>
      </c>
      <c r="M219" s="8">
        <v>1410.16</v>
      </c>
    </row>
    <row r="220" spans="1:13">
      <c r="A220" s="3">
        <v>2447</v>
      </c>
      <c r="B220" s="3" t="s">
        <v>269</v>
      </c>
      <c r="C220" s="3" t="s">
        <v>29</v>
      </c>
      <c r="D220" s="3" t="s">
        <v>30</v>
      </c>
      <c r="E220" s="3">
        <v>6</v>
      </c>
      <c r="F220" s="3">
        <v>1773.3</v>
      </c>
      <c r="G220" s="3">
        <v>0</v>
      </c>
      <c r="H220" s="17" t="s">
        <v>432</v>
      </c>
      <c r="I220" s="3">
        <v>10639.8</v>
      </c>
      <c r="J220" s="4">
        <v>45607</v>
      </c>
      <c r="K220" s="3" t="s">
        <v>31</v>
      </c>
      <c r="L220" s="3" t="s">
        <v>27</v>
      </c>
      <c r="M220" s="5">
        <v>2073.35</v>
      </c>
    </row>
    <row r="221" spans="1:13">
      <c r="A221" s="6">
        <v>2450</v>
      </c>
      <c r="B221" s="6" t="s">
        <v>270</v>
      </c>
      <c r="C221" s="6" t="s">
        <v>52</v>
      </c>
      <c r="D221" s="6" t="s">
        <v>53</v>
      </c>
      <c r="E221" s="6">
        <v>2</v>
      </c>
      <c r="F221" s="6">
        <v>3333.87</v>
      </c>
      <c r="G221" s="3">
        <v>0</v>
      </c>
      <c r="H221" s="17" t="s">
        <v>432</v>
      </c>
      <c r="I221" s="6">
        <v>6667.74</v>
      </c>
      <c r="J221" s="7">
        <v>45782</v>
      </c>
      <c r="K221" s="6" t="s">
        <v>24</v>
      </c>
      <c r="L221" s="6" t="s">
        <v>27</v>
      </c>
      <c r="M221" s="8">
        <v>1673.63</v>
      </c>
    </row>
    <row r="222" spans="1:13">
      <c r="A222" s="3">
        <v>2460</v>
      </c>
      <c r="B222" s="3" t="s">
        <v>271</v>
      </c>
      <c r="C222" s="3" t="s">
        <v>52</v>
      </c>
      <c r="D222" s="3" t="s">
        <v>69</v>
      </c>
      <c r="E222" s="3">
        <v>2</v>
      </c>
      <c r="F222" s="3">
        <v>3157.28</v>
      </c>
      <c r="G222" s="3">
        <v>7.0000000000000007E-2</v>
      </c>
      <c r="H222" s="17" t="s">
        <v>433</v>
      </c>
      <c r="I222" s="3">
        <v>5872.54</v>
      </c>
      <c r="J222" s="4">
        <v>45194</v>
      </c>
      <c r="K222" s="3" t="s">
        <v>31</v>
      </c>
      <c r="L222" s="3" t="s">
        <v>27</v>
      </c>
      <c r="M222" s="5">
        <v>971.15</v>
      </c>
    </row>
    <row r="223" spans="1:13">
      <c r="A223" s="6">
        <v>2461</v>
      </c>
      <c r="B223" s="6" t="s">
        <v>272</v>
      </c>
      <c r="C223" s="6" t="s">
        <v>13</v>
      </c>
      <c r="D223" s="6" t="s">
        <v>14</v>
      </c>
      <c r="E223" s="6">
        <v>1</v>
      </c>
      <c r="F223" s="6">
        <v>4225.58</v>
      </c>
      <c r="G223" s="3">
        <v>0</v>
      </c>
      <c r="H223" s="17" t="s">
        <v>432</v>
      </c>
      <c r="I223" s="6">
        <v>4225.58</v>
      </c>
      <c r="J223" s="7">
        <v>45685</v>
      </c>
      <c r="K223" s="6" t="s">
        <v>31</v>
      </c>
      <c r="L223" s="6" t="s">
        <v>16</v>
      </c>
      <c r="M223" s="8">
        <v>-793.29</v>
      </c>
    </row>
    <row r="224" spans="1:13">
      <c r="A224" s="3">
        <v>2462</v>
      </c>
      <c r="B224" s="3" t="s">
        <v>273</v>
      </c>
      <c r="C224" s="3" t="s">
        <v>52</v>
      </c>
      <c r="D224" s="3" t="s">
        <v>62</v>
      </c>
      <c r="E224" s="3">
        <v>2</v>
      </c>
      <c r="F224" s="3">
        <v>2123.2199999999998</v>
      </c>
      <c r="G224" s="3">
        <v>0</v>
      </c>
      <c r="H224" s="17" t="s">
        <v>432</v>
      </c>
      <c r="I224" s="3">
        <v>4246.4399999999996</v>
      </c>
      <c r="J224" s="4">
        <v>45833</v>
      </c>
      <c r="K224" s="3" t="s">
        <v>15</v>
      </c>
      <c r="L224" s="3" t="s">
        <v>27</v>
      </c>
      <c r="M224" s="5">
        <v>2645.36</v>
      </c>
    </row>
    <row r="225" spans="1:13">
      <c r="A225" s="6">
        <v>2490</v>
      </c>
      <c r="B225" s="6" t="s">
        <v>274</v>
      </c>
      <c r="C225" s="6" t="s">
        <v>34</v>
      </c>
      <c r="D225" s="6" t="s">
        <v>110</v>
      </c>
      <c r="E225" s="6">
        <v>5</v>
      </c>
      <c r="F225" s="6">
        <v>688.38</v>
      </c>
      <c r="G225" s="3">
        <v>0</v>
      </c>
      <c r="H225" s="17" t="s">
        <v>432</v>
      </c>
      <c r="I225" s="6">
        <v>3441.9</v>
      </c>
      <c r="J225" s="7">
        <v>45624</v>
      </c>
      <c r="K225" s="6" t="s">
        <v>20</v>
      </c>
      <c r="L225" s="6" t="s">
        <v>27</v>
      </c>
      <c r="M225" s="8">
        <v>-25.21</v>
      </c>
    </row>
    <row r="226" spans="1:13">
      <c r="A226" s="3">
        <v>2497</v>
      </c>
      <c r="B226" s="3" t="s">
        <v>275</v>
      </c>
      <c r="C226" s="3" t="s">
        <v>52</v>
      </c>
      <c r="D226" s="3" t="s">
        <v>69</v>
      </c>
      <c r="E226" s="3">
        <v>1</v>
      </c>
      <c r="F226" s="3">
        <v>3607.5</v>
      </c>
      <c r="G226" s="3">
        <v>0</v>
      </c>
      <c r="H226" s="17" t="s">
        <v>432</v>
      </c>
      <c r="I226" s="3">
        <v>3607.5</v>
      </c>
      <c r="J226" s="4">
        <v>45670</v>
      </c>
      <c r="K226" s="3" t="s">
        <v>24</v>
      </c>
      <c r="L226" s="3" t="s">
        <v>16</v>
      </c>
      <c r="M226" s="5">
        <v>-341.21</v>
      </c>
    </row>
    <row r="227" spans="1:13">
      <c r="A227" s="6">
        <v>2498</v>
      </c>
      <c r="B227" s="6" t="s">
        <v>276</v>
      </c>
      <c r="C227" s="6" t="s">
        <v>13</v>
      </c>
      <c r="D227" s="6" t="s">
        <v>14</v>
      </c>
      <c r="E227" s="6">
        <v>4</v>
      </c>
      <c r="F227" s="6">
        <v>2043.67</v>
      </c>
      <c r="G227" s="3">
        <v>0</v>
      </c>
      <c r="H227" s="17" t="s">
        <v>432</v>
      </c>
      <c r="I227" s="6">
        <v>8174.68</v>
      </c>
      <c r="J227" s="7">
        <v>45176</v>
      </c>
      <c r="K227" s="6" t="s">
        <v>40</v>
      </c>
      <c r="L227" s="6" t="s">
        <v>32</v>
      </c>
      <c r="M227" s="8">
        <v>-24.72</v>
      </c>
    </row>
    <row r="228" spans="1:13">
      <c r="A228" s="3">
        <v>2499</v>
      </c>
      <c r="B228" s="3" t="s">
        <v>277</v>
      </c>
      <c r="C228" s="3" t="s">
        <v>29</v>
      </c>
      <c r="D228" s="3" t="s">
        <v>83</v>
      </c>
      <c r="E228" s="3">
        <v>2</v>
      </c>
      <c r="F228" s="3">
        <v>4638.76</v>
      </c>
      <c r="G228" s="3">
        <v>0</v>
      </c>
      <c r="H228" s="17" t="s">
        <v>432</v>
      </c>
      <c r="I228" s="3">
        <v>9277.52</v>
      </c>
      <c r="J228" s="4">
        <v>45677</v>
      </c>
      <c r="K228" s="3" t="s">
        <v>31</v>
      </c>
      <c r="L228" s="3" t="s">
        <v>27</v>
      </c>
      <c r="M228" s="5">
        <v>379.89</v>
      </c>
    </row>
    <row r="229" spans="1:13">
      <c r="A229" s="6">
        <v>2505</v>
      </c>
      <c r="B229" s="6" t="s">
        <v>278</v>
      </c>
      <c r="C229" s="6" t="s">
        <v>18</v>
      </c>
      <c r="D229" s="6" t="s">
        <v>57</v>
      </c>
      <c r="E229" s="6">
        <v>1</v>
      </c>
      <c r="F229" s="6">
        <v>1258.77</v>
      </c>
      <c r="G229" s="3">
        <v>0.71</v>
      </c>
      <c r="H229" s="17" t="s">
        <v>433</v>
      </c>
      <c r="I229" s="6">
        <v>365.04</v>
      </c>
      <c r="J229" s="7">
        <v>45658</v>
      </c>
      <c r="K229" s="6" t="s">
        <v>31</v>
      </c>
      <c r="L229" s="6" t="s">
        <v>16</v>
      </c>
      <c r="M229" s="8">
        <v>549.6</v>
      </c>
    </row>
    <row r="230" spans="1:13">
      <c r="A230" s="3">
        <v>2516</v>
      </c>
      <c r="B230" s="3" t="s">
        <v>279</v>
      </c>
      <c r="C230" s="3" t="s">
        <v>22</v>
      </c>
      <c r="D230" s="3" t="s">
        <v>64</v>
      </c>
      <c r="E230" s="3">
        <v>1</v>
      </c>
      <c r="F230" s="3">
        <v>1927.87</v>
      </c>
      <c r="G230" s="3">
        <v>0</v>
      </c>
      <c r="H230" s="17" t="s">
        <v>432</v>
      </c>
      <c r="I230" s="3">
        <v>1927.87</v>
      </c>
      <c r="J230" s="4">
        <v>45825</v>
      </c>
      <c r="K230" s="3" t="s">
        <v>43</v>
      </c>
      <c r="L230" s="3" t="s">
        <v>16</v>
      </c>
      <c r="M230" s="5">
        <v>-876.36</v>
      </c>
    </row>
    <row r="231" spans="1:13">
      <c r="A231" s="6">
        <v>2518</v>
      </c>
      <c r="B231" s="6" t="s">
        <v>280</v>
      </c>
      <c r="C231" s="6" t="s">
        <v>18</v>
      </c>
      <c r="D231" s="6" t="s">
        <v>46</v>
      </c>
      <c r="E231" s="6">
        <v>6</v>
      </c>
      <c r="F231" s="6">
        <v>773.28</v>
      </c>
      <c r="G231" s="3">
        <v>0</v>
      </c>
      <c r="H231" s="17" t="s">
        <v>432</v>
      </c>
      <c r="I231" s="6">
        <v>4639.68</v>
      </c>
      <c r="J231" s="7">
        <v>45744</v>
      </c>
      <c r="K231" s="6" t="s">
        <v>40</v>
      </c>
      <c r="L231" s="6" t="s">
        <v>27</v>
      </c>
      <c r="M231" s="8">
        <v>608.25</v>
      </c>
    </row>
    <row r="232" spans="1:13">
      <c r="A232" s="3">
        <v>2522</v>
      </c>
      <c r="B232" s="3" t="s">
        <v>281</v>
      </c>
      <c r="C232" s="3" t="s">
        <v>29</v>
      </c>
      <c r="D232" s="3" t="s">
        <v>78</v>
      </c>
      <c r="E232" s="3">
        <v>4</v>
      </c>
      <c r="F232" s="3">
        <v>2847.02</v>
      </c>
      <c r="G232" s="3">
        <v>0.56999999999999995</v>
      </c>
      <c r="H232" s="17" t="s">
        <v>433</v>
      </c>
      <c r="I232" s="3">
        <v>4896.87</v>
      </c>
      <c r="J232" s="4">
        <v>45171</v>
      </c>
      <c r="K232" s="3" t="s">
        <v>40</v>
      </c>
      <c r="L232" s="3" t="s">
        <v>27</v>
      </c>
      <c r="M232" s="5">
        <v>1592.04</v>
      </c>
    </row>
    <row r="233" spans="1:13">
      <c r="A233" s="6">
        <v>2531</v>
      </c>
      <c r="B233" s="6" t="s">
        <v>282</v>
      </c>
      <c r="C233" s="6" t="s">
        <v>34</v>
      </c>
      <c r="D233" s="6" t="s">
        <v>35</v>
      </c>
      <c r="E233" s="6">
        <v>2</v>
      </c>
      <c r="F233" s="6">
        <v>816.33</v>
      </c>
      <c r="G233" s="3">
        <v>0</v>
      </c>
      <c r="H233" s="17" t="s">
        <v>432</v>
      </c>
      <c r="I233" s="6">
        <v>1632.66</v>
      </c>
      <c r="J233" s="7">
        <v>45638</v>
      </c>
      <c r="K233" s="6" t="s">
        <v>15</v>
      </c>
      <c r="L233" s="6" t="s">
        <v>32</v>
      </c>
      <c r="M233" s="8">
        <v>868.11</v>
      </c>
    </row>
    <row r="234" spans="1:13">
      <c r="A234" s="3">
        <v>2543</v>
      </c>
      <c r="B234" s="3" t="s">
        <v>283</v>
      </c>
      <c r="C234" s="3" t="s">
        <v>34</v>
      </c>
      <c r="D234" s="3" t="s">
        <v>85</v>
      </c>
      <c r="E234" s="3">
        <v>4</v>
      </c>
      <c r="F234" s="3">
        <v>3501.9</v>
      </c>
      <c r="G234" s="3">
        <v>0</v>
      </c>
      <c r="H234" s="17" t="s">
        <v>432</v>
      </c>
      <c r="I234" s="3">
        <v>14007.6</v>
      </c>
      <c r="J234" s="4">
        <v>45221</v>
      </c>
      <c r="K234" s="3" t="s">
        <v>31</v>
      </c>
      <c r="L234" s="3" t="s">
        <v>27</v>
      </c>
      <c r="M234" s="5">
        <v>1747.96</v>
      </c>
    </row>
    <row r="235" spans="1:13">
      <c r="A235" s="6">
        <v>2546</v>
      </c>
      <c r="B235" s="6" t="s">
        <v>284</v>
      </c>
      <c r="C235" s="6" t="s">
        <v>34</v>
      </c>
      <c r="D235" s="6" t="s">
        <v>85</v>
      </c>
      <c r="E235" s="6">
        <v>1</v>
      </c>
      <c r="F235" s="6">
        <v>3574.54</v>
      </c>
      <c r="G235" s="3">
        <v>0</v>
      </c>
      <c r="H235" s="17" t="s">
        <v>432</v>
      </c>
      <c r="I235" s="6">
        <v>3574.54</v>
      </c>
      <c r="J235" s="7">
        <v>45513</v>
      </c>
      <c r="K235" s="6" t="s">
        <v>15</v>
      </c>
      <c r="L235" s="6" t="s">
        <v>32</v>
      </c>
      <c r="M235" s="8">
        <v>-305.77</v>
      </c>
    </row>
    <row r="236" spans="1:13">
      <c r="A236" s="3">
        <v>2549</v>
      </c>
      <c r="B236" s="3" t="s">
        <v>285</v>
      </c>
      <c r="C236" s="3" t="s">
        <v>29</v>
      </c>
      <c r="D236" s="3" t="s">
        <v>78</v>
      </c>
      <c r="E236" s="3">
        <v>6</v>
      </c>
      <c r="F236" s="3">
        <v>2319.23</v>
      </c>
      <c r="G236" s="3">
        <v>0</v>
      </c>
      <c r="H236" s="17" t="s">
        <v>432</v>
      </c>
      <c r="I236" s="3">
        <v>13915.38</v>
      </c>
      <c r="J236" s="4">
        <v>45674</v>
      </c>
      <c r="K236" s="3" t="s">
        <v>24</v>
      </c>
      <c r="L236" s="3" t="s">
        <v>32</v>
      </c>
      <c r="M236" s="5">
        <v>-854.91</v>
      </c>
    </row>
    <row r="237" spans="1:13">
      <c r="A237" s="6">
        <v>2550</v>
      </c>
      <c r="B237" s="6" t="s">
        <v>286</v>
      </c>
      <c r="C237" s="6" t="s">
        <v>13</v>
      </c>
      <c r="D237" s="6" t="s">
        <v>67</v>
      </c>
      <c r="E237" s="6">
        <v>1</v>
      </c>
      <c r="F237" s="6">
        <v>1463.64</v>
      </c>
      <c r="G237" s="3">
        <v>0</v>
      </c>
      <c r="H237" s="17" t="s">
        <v>432</v>
      </c>
      <c r="I237" s="6">
        <v>1463.64</v>
      </c>
      <c r="J237" s="7">
        <v>45777</v>
      </c>
      <c r="K237" s="6" t="s">
        <v>31</v>
      </c>
      <c r="L237" s="6" t="s">
        <v>32</v>
      </c>
      <c r="M237" s="8">
        <v>1667.2</v>
      </c>
    </row>
    <row r="238" spans="1:13">
      <c r="A238" s="3">
        <v>2566</v>
      </c>
      <c r="B238" s="3" t="s">
        <v>287</v>
      </c>
      <c r="C238" s="3" t="s">
        <v>34</v>
      </c>
      <c r="D238" s="3" t="s">
        <v>37</v>
      </c>
      <c r="E238" s="3">
        <v>1</v>
      </c>
      <c r="F238" s="3">
        <v>4482.08</v>
      </c>
      <c r="G238" s="3">
        <v>0</v>
      </c>
      <c r="H238" s="17" t="s">
        <v>432</v>
      </c>
      <c r="I238" s="3">
        <v>4482.08</v>
      </c>
      <c r="J238" s="4">
        <v>45508</v>
      </c>
      <c r="K238" s="3" t="s">
        <v>20</v>
      </c>
      <c r="L238" s="3" t="s">
        <v>27</v>
      </c>
      <c r="M238" s="5">
        <v>464.92</v>
      </c>
    </row>
    <row r="239" spans="1:13">
      <c r="A239" s="6">
        <v>1013</v>
      </c>
      <c r="B239" s="6" t="s">
        <v>288</v>
      </c>
      <c r="C239" s="6" t="s">
        <v>18</v>
      </c>
      <c r="D239" s="6" t="s">
        <v>57</v>
      </c>
      <c r="E239" s="6">
        <v>6</v>
      </c>
      <c r="F239" s="6">
        <v>2355.2800000000002</v>
      </c>
      <c r="G239" s="3">
        <v>0</v>
      </c>
      <c r="H239" s="17" t="s">
        <v>432</v>
      </c>
      <c r="I239" s="6">
        <v>14131.68</v>
      </c>
      <c r="J239" s="7">
        <v>45674</v>
      </c>
      <c r="K239" s="6" t="s">
        <v>24</v>
      </c>
      <c r="L239" s="6" t="s">
        <v>27</v>
      </c>
      <c r="M239" s="8">
        <v>330.11</v>
      </c>
    </row>
    <row r="240" spans="1:13">
      <c r="A240" s="3">
        <v>2571</v>
      </c>
      <c r="B240" s="3" t="s">
        <v>289</v>
      </c>
      <c r="C240" s="3" t="s">
        <v>29</v>
      </c>
      <c r="D240" s="3" t="s">
        <v>78</v>
      </c>
      <c r="E240" s="3">
        <v>2</v>
      </c>
      <c r="F240" s="3">
        <v>3061.98</v>
      </c>
      <c r="G240" s="3">
        <v>0</v>
      </c>
      <c r="H240" s="17" t="s">
        <v>432</v>
      </c>
      <c r="I240" s="3">
        <v>6123.96</v>
      </c>
      <c r="J240" s="4">
        <v>45843</v>
      </c>
      <c r="K240" s="3" t="s">
        <v>24</v>
      </c>
      <c r="L240" s="3" t="s">
        <v>27</v>
      </c>
      <c r="M240" s="5">
        <v>2553.09</v>
      </c>
    </row>
    <row r="241" spans="1:13">
      <c r="A241" s="6">
        <v>2575</v>
      </c>
      <c r="B241" s="6" t="s">
        <v>290</v>
      </c>
      <c r="C241" s="6" t="s">
        <v>18</v>
      </c>
      <c r="D241" s="6" t="s">
        <v>57</v>
      </c>
      <c r="E241" s="6">
        <v>2</v>
      </c>
      <c r="F241" s="6">
        <v>2714.78</v>
      </c>
      <c r="G241" s="3">
        <v>0.42</v>
      </c>
      <c r="H241" s="17" t="s">
        <v>433</v>
      </c>
      <c r="I241" s="6">
        <v>3149.14</v>
      </c>
      <c r="J241" s="7">
        <v>45785</v>
      </c>
      <c r="K241" s="6" t="s">
        <v>24</v>
      </c>
      <c r="L241" s="6" t="s">
        <v>16</v>
      </c>
      <c r="M241" s="8">
        <v>1220.49</v>
      </c>
    </row>
    <row r="242" spans="1:13">
      <c r="A242" s="3">
        <v>2577</v>
      </c>
      <c r="B242" s="3" t="s">
        <v>291</v>
      </c>
      <c r="C242" s="3" t="s">
        <v>22</v>
      </c>
      <c r="D242" s="3" t="s">
        <v>26</v>
      </c>
      <c r="E242" s="3">
        <v>1</v>
      </c>
      <c r="F242" s="3">
        <v>609.05999999999995</v>
      </c>
      <c r="G242" s="3">
        <v>0.17</v>
      </c>
      <c r="H242" s="17" t="s">
        <v>433</v>
      </c>
      <c r="I242" s="3">
        <v>505.52</v>
      </c>
      <c r="J242" s="4">
        <v>45597</v>
      </c>
      <c r="K242" s="3" t="s">
        <v>24</v>
      </c>
      <c r="L242" s="3" t="s">
        <v>32</v>
      </c>
      <c r="M242" s="5">
        <v>110.23</v>
      </c>
    </row>
    <row r="243" spans="1:13">
      <c r="A243" s="6">
        <v>2600</v>
      </c>
      <c r="B243" s="6" t="s">
        <v>292</v>
      </c>
      <c r="C243" s="6" t="s">
        <v>18</v>
      </c>
      <c r="D243" s="6" t="s">
        <v>46</v>
      </c>
      <c r="E243" s="6">
        <v>5</v>
      </c>
      <c r="F243" s="6">
        <v>4832.16</v>
      </c>
      <c r="G243" s="3">
        <v>0</v>
      </c>
      <c r="H243" s="17" t="s">
        <v>432</v>
      </c>
      <c r="I243" s="6">
        <v>24160.799999999999</v>
      </c>
      <c r="J243" s="7">
        <v>45555</v>
      </c>
      <c r="K243" s="6" t="s">
        <v>40</v>
      </c>
      <c r="L243" s="6" t="s">
        <v>16</v>
      </c>
      <c r="M243" s="8">
        <v>1707.66</v>
      </c>
    </row>
    <row r="244" spans="1:13">
      <c r="A244" s="3">
        <v>2604</v>
      </c>
      <c r="B244" s="3" t="s">
        <v>293</v>
      </c>
      <c r="C244" s="3" t="s">
        <v>18</v>
      </c>
      <c r="D244" s="3" t="s">
        <v>46</v>
      </c>
      <c r="E244" s="3">
        <v>1</v>
      </c>
      <c r="F244" s="3">
        <v>2171.2199999999998</v>
      </c>
      <c r="G244" s="3">
        <v>0</v>
      </c>
      <c r="H244" s="17" t="s">
        <v>432</v>
      </c>
      <c r="I244" s="3">
        <v>2171.2199999999998</v>
      </c>
      <c r="J244" s="4">
        <v>45806</v>
      </c>
      <c r="K244" s="3" t="s">
        <v>20</v>
      </c>
      <c r="L244" s="3" t="s">
        <v>16</v>
      </c>
      <c r="M244" s="5">
        <v>2595.2199999999998</v>
      </c>
    </row>
    <row r="245" spans="1:13">
      <c r="A245" s="6">
        <v>2605</v>
      </c>
      <c r="B245" s="6" t="s">
        <v>294</v>
      </c>
      <c r="C245" s="6" t="s">
        <v>29</v>
      </c>
      <c r="D245" s="6" t="s">
        <v>83</v>
      </c>
      <c r="E245" s="6">
        <v>1</v>
      </c>
      <c r="F245" s="6">
        <v>1636.26</v>
      </c>
      <c r="G245" s="3">
        <v>0.94</v>
      </c>
      <c r="H245" s="17" t="s">
        <v>433</v>
      </c>
      <c r="I245" s="6">
        <v>98.18</v>
      </c>
      <c r="J245" s="7">
        <v>45667</v>
      </c>
      <c r="K245" s="6" t="s">
        <v>31</v>
      </c>
      <c r="L245" s="6" t="s">
        <v>27</v>
      </c>
      <c r="M245" s="8">
        <v>615.80999999999995</v>
      </c>
    </row>
    <row r="246" spans="1:13">
      <c r="A246" s="3">
        <v>2610</v>
      </c>
      <c r="B246" s="3" t="s">
        <v>295</v>
      </c>
      <c r="C246" s="3" t="s">
        <v>34</v>
      </c>
      <c r="D246" s="3" t="s">
        <v>110</v>
      </c>
      <c r="E246" s="3">
        <v>5</v>
      </c>
      <c r="F246" s="3">
        <v>1606.99</v>
      </c>
      <c r="G246" s="3">
        <v>0</v>
      </c>
      <c r="H246" s="17" t="s">
        <v>432</v>
      </c>
      <c r="I246" s="3">
        <v>8034.95</v>
      </c>
      <c r="J246" s="4">
        <v>45283</v>
      </c>
      <c r="K246" s="3" t="s">
        <v>24</v>
      </c>
      <c r="L246" s="3" t="s">
        <v>32</v>
      </c>
      <c r="M246" s="5">
        <v>1743.11</v>
      </c>
    </row>
    <row r="247" spans="1:13">
      <c r="A247" s="6">
        <v>2631</v>
      </c>
      <c r="B247" s="6" t="s">
        <v>296</v>
      </c>
      <c r="C247" s="6" t="s">
        <v>52</v>
      </c>
      <c r="D247" s="6" t="s">
        <v>69</v>
      </c>
      <c r="E247" s="6">
        <v>2</v>
      </c>
      <c r="F247" s="6">
        <v>1753.02</v>
      </c>
      <c r="G247" s="3">
        <v>0.23</v>
      </c>
      <c r="H247" s="17" t="s">
        <v>433</v>
      </c>
      <c r="I247" s="6">
        <v>2699.65</v>
      </c>
      <c r="J247" s="7">
        <v>45677</v>
      </c>
      <c r="K247" s="6" t="s">
        <v>40</v>
      </c>
      <c r="L247" s="6" t="s">
        <v>27</v>
      </c>
      <c r="M247" s="8">
        <v>-766.47</v>
      </c>
    </row>
    <row r="248" spans="1:13">
      <c r="A248" s="3">
        <v>2636</v>
      </c>
      <c r="B248" s="3" t="s">
        <v>297</v>
      </c>
      <c r="C248" s="3" t="s">
        <v>29</v>
      </c>
      <c r="D248" s="3" t="s">
        <v>78</v>
      </c>
      <c r="E248" s="3">
        <v>3</v>
      </c>
      <c r="F248" s="3">
        <v>1006.98</v>
      </c>
      <c r="G248" s="3">
        <v>0</v>
      </c>
      <c r="H248" s="17" t="s">
        <v>432</v>
      </c>
      <c r="I248" s="3">
        <v>3020.94</v>
      </c>
      <c r="J248" s="4">
        <v>45151</v>
      </c>
      <c r="K248" s="3" t="s">
        <v>15</v>
      </c>
      <c r="L248" s="3" t="s">
        <v>16</v>
      </c>
      <c r="M248" s="5">
        <v>1576.71</v>
      </c>
    </row>
    <row r="249" spans="1:13">
      <c r="A249" s="6">
        <v>2638</v>
      </c>
      <c r="B249" s="6" t="s">
        <v>298</v>
      </c>
      <c r="C249" s="6" t="s">
        <v>13</v>
      </c>
      <c r="D249" s="6" t="s">
        <v>67</v>
      </c>
      <c r="E249" s="6">
        <v>6</v>
      </c>
      <c r="F249" s="6">
        <v>2012.14</v>
      </c>
      <c r="G249" s="3">
        <v>0</v>
      </c>
      <c r="H249" s="17" t="s">
        <v>432</v>
      </c>
      <c r="I249" s="6">
        <v>12072.84</v>
      </c>
      <c r="J249" s="7">
        <v>45643</v>
      </c>
      <c r="K249" s="6" t="s">
        <v>43</v>
      </c>
      <c r="L249" s="6" t="s">
        <v>16</v>
      </c>
      <c r="M249" s="8">
        <v>3.53</v>
      </c>
    </row>
    <row r="250" spans="1:13">
      <c r="A250" s="3">
        <v>2640</v>
      </c>
      <c r="B250" s="3" t="s">
        <v>299</v>
      </c>
      <c r="C250" s="3" t="s">
        <v>13</v>
      </c>
      <c r="D250" s="3" t="s">
        <v>67</v>
      </c>
      <c r="E250" s="3">
        <v>6</v>
      </c>
      <c r="F250" s="3">
        <v>4720.2299999999996</v>
      </c>
      <c r="G250" s="3">
        <v>0.69</v>
      </c>
      <c r="H250" s="17" t="s">
        <v>433</v>
      </c>
      <c r="I250" s="3">
        <v>8779.6299999999992</v>
      </c>
      <c r="J250" s="4">
        <v>45289</v>
      </c>
      <c r="K250" s="3" t="s">
        <v>24</v>
      </c>
      <c r="L250" s="3" t="s">
        <v>16</v>
      </c>
      <c r="M250" s="5">
        <v>2243.09</v>
      </c>
    </row>
    <row r="251" spans="1:13">
      <c r="A251" s="6">
        <v>2642</v>
      </c>
      <c r="B251" s="6" t="s">
        <v>300</v>
      </c>
      <c r="C251" s="6" t="s">
        <v>13</v>
      </c>
      <c r="D251" s="6" t="s">
        <v>74</v>
      </c>
      <c r="E251" s="6">
        <v>1</v>
      </c>
      <c r="F251" s="6">
        <v>1043.58</v>
      </c>
      <c r="G251" s="3">
        <v>0</v>
      </c>
      <c r="H251" s="17" t="s">
        <v>432</v>
      </c>
      <c r="I251" s="6">
        <v>1043.58</v>
      </c>
      <c r="J251" s="7">
        <v>45846</v>
      </c>
      <c r="K251" s="6" t="s">
        <v>31</v>
      </c>
      <c r="L251" s="6" t="s">
        <v>16</v>
      </c>
      <c r="M251" s="8">
        <v>1206.72</v>
      </c>
    </row>
    <row r="252" spans="1:13">
      <c r="A252" s="3">
        <v>2649</v>
      </c>
      <c r="B252" s="3" t="s">
        <v>301</v>
      </c>
      <c r="C252" s="3" t="s">
        <v>52</v>
      </c>
      <c r="D252" s="3" t="s">
        <v>72</v>
      </c>
      <c r="E252" s="3">
        <v>3</v>
      </c>
      <c r="F252" s="3">
        <v>3838.55</v>
      </c>
      <c r="G252" s="3">
        <v>0.91</v>
      </c>
      <c r="H252" s="17" t="s">
        <v>433</v>
      </c>
      <c r="I252" s="3">
        <v>1036.4100000000001</v>
      </c>
      <c r="J252" s="4">
        <v>45504</v>
      </c>
      <c r="K252" s="3" t="s">
        <v>40</v>
      </c>
      <c r="L252" s="3" t="s">
        <v>32</v>
      </c>
      <c r="M252" s="5">
        <v>2380.44</v>
      </c>
    </row>
    <row r="253" spans="1:13">
      <c r="A253" s="6">
        <v>2662</v>
      </c>
      <c r="B253" s="6" t="s">
        <v>302</v>
      </c>
      <c r="C253" s="6" t="s">
        <v>34</v>
      </c>
      <c r="D253" s="6" t="s">
        <v>37</v>
      </c>
      <c r="E253" s="6">
        <v>1</v>
      </c>
      <c r="F253" s="6">
        <v>2718.51</v>
      </c>
      <c r="G253" s="3">
        <v>0</v>
      </c>
      <c r="H253" s="17" t="s">
        <v>432</v>
      </c>
      <c r="I253" s="6">
        <v>2718.51</v>
      </c>
      <c r="J253" s="7">
        <v>45841</v>
      </c>
      <c r="K253" s="6" t="s">
        <v>40</v>
      </c>
      <c r="L253" s="6" t="s">
        <v>32</v>
      </c>
      <c r="M253" s="8">
        <v>903.59</v>
      </c>
    </row>
    <row r="254" spans="1:13">
      <c r="A254" s="3">
        <v>2663</v>
      </c>
      <c r="B254" s="3" t="s">
        <v>303</v>
      </c>
      <c r="C254" s="3" t="s">
        <v>52</v>
      </c>
      <c r="D254" s="3" t="s">
        <v>72</v>
      </c>
      <c r="E254" s="3">
        <v>2</v>
      </c>
      <c r="F254" s="3">
        <v>2212.25</v>
      </c>
      <c r="G254" s="3">
        <v>0.35</v>
      </c>
      <c r="H254" s="17" t="s">
        <v>433</v>
      </c>
      <c r="I254" s="3">
        <v>2875.93</v>
      </c>
      <c r="J254" s="4">
        <v>45602</v>
      </c>
      <c r="K254" s="3" t="s">
        <v>15</v>
      </c>
      <c r="L254" s="3" t="s">
        <v>32</v>
      </c>
      <c r="M254" s="5">
        <v>2992.12</v>
      </c>
    </row>
    <row r="255" spans="1:13">
      <c r="A255" s="6">
        <v>2681</v>
      </c>
      <c r="B255" s="6" t="s">
        <v>304</v>
      </c>
      <c r="C255" s="6" t="s">
        <v>13</v>
      </c>
      <c r="D255" s="6" t="s">
        <v>94</v>
      </c>
      <c r="E255" s="6">
        <v>1</v>
      </c>
      <c r="F255" s="6">
        <v>4770.92</v>
      </c>
      <c r="G255" s="3">
        <v>0</v>
      </c>
      <c r="H255" s="17" t="s">
        <v>432</v>
      </c>
      <c r="I255" s="6">
        <v>4770.92</v>
      </c>
      <c r="J255" s="7">
        <v>45223</v>
      </c>
      <c r="K255" s="6" t="s">
        <v>40</v>
      </c>
      <c r="L255" s="6" t="s">
        <v>16</v>
      </c>
      <c r="M255" s="8">
        <v>433.04</v>
      </c>
    </row>
    <row r="256" spans="1:13">
      <c r="A256" s="3">
        <v>2689</v>
      </c>
      <c r="B256" s="3" t="s">
        <v>305</v>
      </c>
      <c r="C256" s="3" t="s">
        <v>52</v>
      </c>
      <c r="D256" s="3" t="s">
        <v>53</v>
      </c>
      <c r="E256" s="3">
        <v>4</v>
      </c>
      <c r="F256" s="3">
        <v>4777.51</v>
      </c>
      <c r="G256" s="3">
        <v>0</v>
      </c>
      <c r="H256" s="17" t="s">
        <v>432</v>
      </c>
      <c r="I256" s="3">
        <v>19110.04</v>
      </c>
      <c r="J256" s="4">
        <v>45609</v>
      </c>
      <c r="K256" s="3" t="s">
        <v>31</v>
      </c>
      <c r="L256" s="3" t="s">
        <v>27</v>
      </c>
      <c r="M256" s="5">
        <v>-204.04</v>
      </c>
    </row>
    <row r="257" spans="1:13">
      <c r="A257" s="6">
        <v>2701</v>
      </c>
      <c r="B257" s="6" t="s">
        <v>306</v>
      </c>
      <c r="C257" s="6" t="s">
        <v>52</v>
      </c>
      <c r="D257" s="6" t="s">
        <v>69</v>
      </c>
      <c r="E257" s="6">
        <v>1</v>
      </c>
      <c r="F257" s="6">
        <v>2085.92</v>
      </c>
      <c r="G257" s="3">
        <v>0</v>
      </c>
      <c r="H257" s="17" t="s">
        <v>432</v>
      </c>
      <c r="I257" s="6">
        <v>2085.92</v>
      </c>
      <c r="J257" s="7">
        <v>45669</v>
      </c>
      <c r="K257" s="6" t="s">
        <v>20</v>
      </c>
      <c r="L257" s="6" t="s">
        <v>32</v>
      </c>
      <c r="M257" s="8">
        <v>1301.3699999999999</v>
      </c>
    </row>
    <row r="258" spans="1:13">
      <c r="A258" s="3">
        <v>2708</v>
      </c>
      <c r="B258" s="3" t="s">
        <v>307</v>
      </c>
      <c r="C258" s="3" t="s">
        <v>52</v>
      </c>
      <c r="D258" s="3" t="s">
        <v>62</v>
      </c>
      <c r="E258" s="3">
        <v>4</v>
      </c>
      <c r="F258" s="3">
        <v>4882.6899999999996</v>
      </c>
      <c r="G258" s="3">
        <v>0</v>
      </c>
      <c r="H258" s="17" t="s">
        <v>432</v>
      </c>
      <c r="I258" s="3">
        <v>19530.759999999998</v>
      </c>
      <c r="J258" s="4">
        <v>45656</v>
      </c>
      <c r="K258" s="3" t="s">
        <v>15</v>
      </c>
      <c r="L258" s="3" t="s">
        <v>16</v>
      </c>
      <c r="M258" s="5">
        <v>2658.6</v>
      </c>
    </row>
    <row r="259" spans="1:13">
      <c r="A259" s="6">
        <v>2718</v>
      </c>
      <c r="B259" s="6" t="s">
        <v>308</v>
      </c>
      <c r="C259" s="6" t="s">
        <v>22</v>
      </c>
      <c r="D259" s="6" t="s">
        <v>39</v>
      </c>
      <c r="E259" s="6">
        <v>3</v>
      </c>
      <c r="F259" s="6">
        <v>909.31</v>
      </c>
      <c r="G259" s="3">
        <v>0</v>
      </c>
      <c r="H259" s="17" t="s">
        <v>432</v>
      </c>
      <c r="I259" s="6">
        <v>2727.93</v>
      </c>
      <c r="J259" s="7">
        <v>45752</v>
      </c>
      <c r="K259" s="6" t="s">
        <v>40</v>
      </c>
      <c r="L259" s="6" t="s">
        <v>27</v>
      </c>
      <c r="M259" s="8">
        <v>1389.16</v>
      </c>
    </row>
    <row r="260" spans="1:13">
      <c r="A260" s="3">
        <v>2731</v>
      </c>
      <c r="B260" s="3" t="s">
        <v>309</v>
      </c>
      <c r="C260" s="3" t="s">
        <v>13</v>
      </c>
      <c r="D260" s="3" t="s">
        <v>14</v>
      </c>
      <c r="E260" s="3">
        <v>1</v>
      </c>
      <c r="F260" s="3">
        <v>1635.12</v>
      </c>
      <c r="G260" s="3">
        <v>0</v>
      </c>
      <c r="H260" s="17" t="s">
        <v>432</v>
      </c>
      <c r="I260" s="3">
        <v>1635.12</v>
      </c>
      <c r="J260" s="4">
        <v>45854</v>
      </c>
      <c r="K260" s="3" t="s">
        <v>15</v>
      </c>
      <c r="L260" s="3" t="s">
        <v>16</v>
      </c>
      <c r="M260" s="5">
        <v>-526.88</v>
      </c>
    </row>
    <row r="261" spans="1:13">
      <c r="A261" s="6">
        <v>2739</v>
      </c>
      <c r="B261" s="6" t="s">
        <v>310</v>
      </c>
      <c r="C261" s="6" t="s">
        <v>18</v>
      </c>
      <c r="D261" s="6" t="s">
        <v>46</v>
      </c>
      <c r="E261" s="6">
        <v>4</v>
      </c>
      <c r="F261" s="6">
        <v>4316.8500000000004</v>
      </c>
      <c r="G261" s="3">
        <v>0</v>
      </c>
      <c r="H261" s="17" t="s">
        <v>432</v>
      </c>
      <c r="I261" s="6">
        <v>17267.400000000001</v>
      </c>
      <c r="J261" s="7">
        <v>45268</v>
      </c>
      <c r="K261" s="6" t="s">
        <v>24</v>
      </c>
      <c r="L261" s="6" t="s">
        <v>27</v>
      </c>
      <c r="M261" s="8">
        <v>2259.3000000000002</v>
      </c>
    </row>
    <row r="262" spans="1:13">
      <c r="A262" s="3">
        <v>2745</v>
      </c>
      <c r="B262" s="3" t="s">
        <v>311</v>
      </c>
      <c r="C262" s="3" t="s">
        <v>22</v>
      </c>
      <c r="D262" s="3" t="s">
        <v>39</v>
      </c>
      <c r="E262" s="3">
        <v>1</v>
      </c>
      <c r="F262" s="3">
        <v>869.82</v>
      </c>
      <c r="G262" s="3">
        <v>0</v>
      </c>
      <c r="H262" s="17" t="s">
        <v>432</v>
      </c>
      <c r="I262" s="3">
        <v>869.82</v>
      </c>
      <c r="J262" s="4">
        <v>45497</v>
      </c>
      <c r="K262" s="3" t="s">
        <v>20</v>
      </c>
      <c r="L262" s="3" t="s">
        <v>32</v>
      </c>
      <c r="M262" s="5">
        <v>737.77</v>
      </c>
    </row>
    <row r="263" spans="1:13">
      <c r="A263" s="6">
        <v>2747</v>
      </c>
      <c r="B263" s="6" t="s">
        <v>312</v>
      </c>
      <c r="C263" s="6" t="s">
        <v>34</v>
      </c>
      <c r="D263" s="6" t="s">
        <v>35</v>
      </c>
      <c r="E263" s="6">
        <v>1</v>
      </c>
      <c r="F263" s="6">
        <v>1369.29</v>
      </c>
      <c r="G263" s="3">
        <v>0</v>
      </c>
      <c r="H263" s="17" t="s">
        <v>432</v>
      </c>
      <c r="I263" s="6">
        <v>1369.29</v>
      </c>
      <c r="J263" s="7">
        <v>45796</v>
      </c>
      <c r="K263" s="6" t="s">
        <v>15</v>
      </c>
      <c r="L263" s="6" t="s">
        <v>32</v>
      </c>
      <c r="M263" s="8">
        <v>325.08</v>
      </c>
    </row>
    <row r="264" spans="1:13">
      <c r="A264" s="3">
        <v>2748</v>
      </c>
      <c r="B264" s="3" t="s">
        <v>313</v>
      </c>
      <c r="C264" s="3" t="s">
        <v>52</v>
      </c>
      <c r="D264" s="3" t="s">
        <v>69</v>
      </c>
      <c r="E264" s="3">
        <v>4</v>
      </c>
      <c r="F264" s="3">
        <v>3977.88</v>
      </c>
      <c r="G264" s="3">
        <v>0</v>
      </c>
      <c r="H264" s="17" t="s">
        <v>432</v>
      </c>
      <c r="I264" s="3">
        <v>15911.52</v>
      </c>
      <c r="J264" s="4">
        <v>45670</v>
      </c>
      <c r="K264" s="3" t="s">
        <v>24</v>
      </c>
      <c r="L264" s="3" t="s">
        <v>32</v>
      </c>
      <c r="M264" s="5">
        <v>2431.13</v>
      </c>
    </row>
    <row r="265" spans="1:13">
      <c r="A265" s="6">
        <v>2757</v>
      </c>
      <c r="B265" s="6" t="s">
        <v>314</v>
      </c>
      <c r="C265" s="6" t="s">
        <v>52</v>
      </c>
      <c r="D265" s="6" t="s">
        <v>53</v>
      </c>
      <c r="E265" s="6">
        <v>3</v>
      </c>
      <c r="F265" s="6">
        <v>4923.95</v>
      </c>
      <c r="G265" s="3">
        <v>0</v>
      </c>
      <c r="H265" s="17" t="s">
        <v>432</v>
      </c>
      <c r="I265" s="6">
        <v>14771.85</v>
      </c>
      <c r="J265" s="7">
        <v>45794</v>
      </c>
      <c r="K265" s="6" t="s">
        <v>40</v>
      </c>
      <c r="L265" s="6" t="s">
        <v>16</v>
      </c>
      <c r="M265" s="8">
        <v>794.65</v>
      </c>
    </row>
    <row r="266" spans="1:13">
      <c r="A266" s="3">
        <v>2788</v>
      </c>
      <c r="B266" s="3" t="s">
        <v>315</v>
      </c>
      <c r="C266" s="3" t="s">
        <v>52</v>
      </c>
      <c r="D266" s="3" t="s">
        <v>72</v>
      </c>
      <c r="E266" s="3">
        <v>1</v>
      </c>
      <c r="F266" s="3">
        <v>3267.28</v>
      </c>
      <c r="G266" s="3">
        <v>0</v>
      </c>
      <c r="H266" s="17" t="s">
        <v>432</v>
      </c>
      <c r="I266" s="3">
        <v>3267.28</v>
      </c>
      <c r="J266" s="4">
        <v>45742</v>
      </c>
      <c r="K266" s="3" t="s">
        <v>20</v>
      </c>
      <c r="L266" s="3" t="s">
        <v>16</v>
      </c>
      <c r="M266" s="5">
        <v>81.99</v>
      </c>
    </row>
    <row r="267" spans="1:13">
      <c r="A267" s="6">
        <v>2790</v>
      </c>
      <c r="B267" s="6" t="s">
        <v>316</v>
      </c>
      <c r="C267" s="6" t="s">
        <v>22</v>
      </c>
      <c r="D267" s="6" t="s">
        <v>23</v>
      </c>
      <c r="E267" s="6">
        <v>3</v>
      </c>
      <c r="F267" s="6">
        <v>2675.27</v>
      </c>
      <c r="G267" s="3">
        <v>0.41</v>
      </c>
      <c r="H267" s="17" t="s">
        <v>433</v>
      </c>
      <c r="I267" s="6">
        <v>4735.2299999999996</v>
      </c>
      <c r="J267" s="7">
        <v>45605</v>
      </c>
      <c r="K267" s="6" t="s">
        <v>43</v>
      </c>
      <c r="L267" s="6" t="s">
        <v>16</v>
      </c>
      <c r="M267" s="8">
        <v>1960.51</v>
      </c>
    </row>
    <row r="268" spans="1:13">
      <c r="A268" s="3">
        <v>2793</v>
      </c>
      <c r="B268" s="3" t="s">
        <v>317</v>
      </c>
      <c r="C268" s="3" t="s">
        <v>52</v>
      </c>
      <c r="D268" s="3" t="s">
        <v>62</v>
      </c>
      <c r="E268" s="3">
        <v>2</v>
      </c>
      <c r="F268" s="3">
        <v>4836.47</v>
      </c>
      <c r="G268" s="3">
        <v>0</v>
      </c>
      <c r="H268" s="17" t="s">
        <v>432</v>
      </c>
      <c r="I268" s="3">
        <v>9672.94</v>
      </c>
      <c r="J268" s="4">
        <v>45735</v>
      </c>
      <c r="K268" s="3" t="s">
        <v>24</v>
      </c>
      <c r="L268" s="3" t="s">
        <v>32</v>
      </c>
      <c r="M268" s="5">
        <v>-608.29999999999995</v>
      </c>
    </row>
    <row r="269" spans="1:13">
      <c r="A269" s="6">
        <v>2797</v>
      </c>
      <c r="B269" s="6" t="s">
        <v>318</v>
      </c>
      <c r="C269" s="6" t="s">
        <v>52</v>
      </c>
      <c r="D269" s="6" t="s">
        <v>62</v>
      </c>
      <c r="E269" s="6">
        <v>1</v>
      </c>
      <c r="F269" s="6">
        <v>1257.81</v>
      </c>
      <c r="G269" s="3">
        <v>0</v>
      </c>
      <c r="H269" s="17" t="s">
        <v>432</v>
      </c>
      <c r="I269" s="6">
        <v>1257.81</v>
      </c>
      <c r="J269" s="7">
        <v>45796</v>
      </c>
      <c r="K269" s="6" t="s">
        <v>24</v>
      </c>
      <c r="L269" s="6" t="s">
        <v>32</v>
      </c>
      <c r="M269" s="8">
        <v>2957.6</v>
      </c>
    </row>
    <row r="270" spans="1:13">
      <c r="A270" s="3">
        <v>2803</v>
      </c>
      <c r="B270" s="3" t="s">
        <v>319</v>
      </c>
      <c r="C270" s="3" t="s">
        <v>34</v>
      </c>
      <c r="D270" s="3" t="s">
        <v>37</v>
      </c>
      <c r="E270" s="3">
        <v>5</v>
      </c>
      <c r="F270" s="3">
        <v>4418.75</v>
      </c>
      <c r="G270" s="3">
        <v>0</v>
      </c>
      <c r="H270" s="17" t="s">
        <v>432</v>
      </c>
      <c r="I270" s="3">
        <v>22093.75</v>
      </c>
      <c r="J270" s="4">
        <v>45151</v>
      </c>
      <c r="K270" s="3" t="s">
        <v>20</v>
      </c>
      <c r="L270" s="3" t="s">
        <v>27</v>
      </c>
      <c r="M270" s="5">
        <v>693.65</v>
      </c>
    </row>
    <row r="271" spans="1:13">
      <c r="A271" s="6">
        <v>2804</v>
      </c>
      <c r="B271" s="6" t="s">
        <v>320</v>
      </c>
      <c r="C271" s="6" t="s">
        <v>52</v>
      </c>
      <c r="D271" s="6" t="s">
        <v>72</v>
      </c>
      <c r="E271" s="6">
        <v>6</v>
      </c>
      <c r="F271" s="6">
        <v>4784</v>
      </c>
      <c r="G271" s="3">
        <v>0</v>
      </c>
      <c r="H271" s="17" t="s">
        <v>432</v>
      </c>
      <c r="I271" s="6">
        <v>28704</v>
      </c>
      <c r="J271" s="7">
        <v>45732</v>
      </c>
      <c r="K271" s="6" t="s">
        <v>15</v>
      </c>
      <c r="L271" s="6" t="s">
        <v>16</v>
      </c>
      <c r="M271" s="8">
        <v>2969.42</v>
      </c>
    </row>
    <row r="272" spans="1:13">
      <c r="A272" s="3">
        <v>2820</v>
      </c>
      <c r="B272" s="3" t="s">
        <v>321</v>
      </c>
      <c r="C272" s="3" t="s">
        <v>52</v>
      </c>
      <c r="D272" s="3" t="s">
        <v>53</v>
      </c>
      <c r="E272" s="3">
        <v>1</v>
      </c>
      <c r="F272" s="3">
        <v>2454.71</v>
      </c>
      <c r="G272" s="3">
        <v>0.1</v>
      </c>
      <c r="H272" s="17" t="s">
        <v>433</v>
      </c>
      <c r="I272" s="3">
        <v>2209.2399999999998</v>
      </c>
      <c r="J272" s="4">
        <v>45294</v>
      </c>
      <c r="K272" s="3" t="s">
        <v>15</v>
      </c>
      <c r="L272" s="3" t="s">
        <v>16</v>
      </c>
      <c r="M272" s="5">
        <v>2850.37</v>
      </c>
    </row>
    <row r="273" spans="1:13">
      <c r="A273" s="6">
        <v>2822</v>
      </c>
      <c r="B273" s="6" t="s">
        <v>322</v>
      </c>
      <c r="C273" s="6" t="s">
        <v>34</v>
      </c>
      <c r="D273" s="6" t="s">
        <v>85</v>
      </c>
      <c r="E273" s="6">
        <v>2</v>
      </c>
      <c r="F273" s="6">
        <v>3864.37</v>
      </c>
      <c r="G273" s="3">
        <v>0</v>
      </c>
      <c r="H273" s="17" t="s">
        <v>432</v>
      </c>
      <c r="I273" s="6">
        <v>7728.74</v>
      </c>
      <c r="J273" s="7">
        <v>45725</v>
      </c>
      <c r="K273" s="6" t="s">
        <v>20</v>
      </c>
      <c r="L273" s="6" t="s">
        <v>27</v>
      </c>
      <c r="M273" s="8">
        <v>957.65</v>
      </c>
    </row>
    <row r="274" spans="1:13">
      <c r="A274" s="3">
        <v>2834</v>
      </c>
      <c r="B274" s="3" t="s">
        <v>323</v>
      </c>
      <c r="C274" s="3" t="s">
        <v>13</v>
      </c>
      <c r="D274" s="3" t="s">
        <v>67</v>
      </c>
      <c r="E274" s="3">
        <v>2</v>
      </c>
      <c r="F274" s="3">
        <v>3522.98</v>
      </c>
      <c r="G274" s="3">
        <v>0</v>
      </c>
      <c r="H274" s="17" t="s">
        <v>432</v>
      </c>
      <c r="I274" s="3">
        <v>7045.96</v>
      </c>
      <c r="J274" s="4">
        <v>45597</v>
      </c>
      <c r="K274" s="3" t="s">
        <v>43</v>
      </c>
      <c r="L274" s="3" t="s">
        <v>32</v>
      </c>
      <c r="M274" s="5">
        <v>2242.67</v>
      </c>
    </row>
    <row r="275" spans="1:13">
      <c r="A275" s="6">
        <v>2836</v>
      </c>
      <c r="B275" s="6" t="s">
        <v>324</v>
      </c>
      <c r="C275" s="6" t="s">
        <v>29</v>
      </c>
      <c r="D275" s="6" t="s">
        <v>48</v>
      </c>
      <c r="E275" s="6">
        <v>4</v>
      </c>
      <c r="F275" s="6">
        <v>4609.95</v>
      </c>
      <c r="G275" s="3">
        <v>0</v>
      </c>
      <c r="H275" s="17" t="s">
        <v>432</v>
      </c>
      <c r="I275" s="6">
        <v>18439.8</v>
      </c>
      <c r="J275" s="7">
        <v>45448</v>
      </c>
      <c r="K275" s="6" t="s">
        <v>20</v>
      </c>
      <c r="L275" s="6" t="s">
        <v>16</v>
      </c>
      <c r="M275" s="8">
        <v>-154.75</v>
      </c>
    </row>
    <row r="276" spans="1:13">
      <c r="A276" s="3">
        <v>2846</v>
      </c>
      <c r="B276" s="3" t="s">
        <v>325</v>
      </c>
      <c r="C276" s="3" t="s">
        <v>18</v>
      </c>
      <c r="D276" s="3" t="s">
        <v>42</v>
      </c>
      <c r="E276" s="3">
        <v>2</v>
      </c>
      <c r="F276" s="3">
        <v>2525.04</v>
      </c>
      <c r="G276" s="3">
        <v>0.3</v>
      </c>
      <c r="H276" s="17" t="s">
        <v>433</v>
      </c>
      <c r="I276" s="3">
        <v>3535.06</v>
      </c>
      <c r="J276" s="4">
        <v>45560</v>
      </c>
      <c r="K276" s="3" t="s">
        <v>31</v>
      </c>
      <c r="L276" s="3" t="s">
        <v>27</v>
      </c>
      <c r="M276" s="5">
        <v>1003.34</v>
      </c>
    </row>
    <row r="277" spans="1:13">
      <c r="A277" s="6">
        <v>2858</v>
      </c>
      <c r="B277" s="6" t="s">
        <v>326</v>
      </c>
      <c r="C277" s="6" t="s">
        <v>22</v>
      </c>
      <c r="D277" s="6" t="s">
        <v>23</v>
      </c>
      <c r="E277" s="6">
        <v>1</v>
      </c>
      <c r="F277" s="6">
        <v>3270.29</v>
      </c>
      <c r="G277" s="3">
        <v>0</v>
      </c>
      <c r="H277" s="17" t="s">
        <v>432</v>
      </c>
      <c r="I277" s="6">
        <v>3270.29</v>
      </c>
      <c r="J277" s="7">
        <v>45695</v>
      </c>
      <c r="K277" s="6" t="s">
        <v>40</v>
      </c>
      <c r="L277" s="6" t="s">
        <v>32</v>
      </c>
      <c r="M277" s="8">
        <v>-539.25</v>
      </c>
    </row>
    <row r="278" spans="1:13">
      <c r="A278" s="3">
        <v>2864</v>
      </c>
      <c r="B278" s="3" t="s">
        <v>327</v>
      </c>
      <c r="C278" s="3" t="s">
        <v>13</v>
      </c>
      <c r="D278" s="3" t="s">
        <v>67</v>
      </c>
      <c r="E278" s="3">
        <v>5</v>
      </c>
      <c r="F278" s="3">
        <v>2535.29</v>
      </c>
      <c r="G278" s="3">
        <v>0</v>
      </c>
      <c r="H278" s="17" t="s">
        <v>432</v>
      </c>
      <c r="I278" s="3">
        <v>12676.45</v>
      </c>
      <c r="J278" s="4">
        <v>45500</v>
      </c>
      <c r="K278" s="3" t="s">
        <v>20</v>
      </c>
      <c r="L278" s="3" t="s">
        <v>27</v>
      </c>
      <c r="M278" s="5">
        <v>-456.39</v>
      </c>
    </row>
    <row r="279" spans="1:13">
      <c r="A279" s="6">
        <v>2868</v>
      </c>
      <c r="B279" s="6" t="s">
        <v>328</v>
      </c>
      <c r="C279" s="6" t="s">
        <v>52</v>
      </c>
      <c r="D279" s="6" t="s">
        <v>72</v>
      </c>
      <c r="E279" s="6">
        <v>4</v>
      </c>
      <c r="F279" s="6">
        <v>1392.21</v>
      </c>
      <c r="G279" s="3">
        <v>0</v>
      </c>
      <c r="H279" s="17" t="s">
        <v>432</v>
      </c>
      <c r="I279" s="6">
        <v>5568.84</v>
      </c>
      <c r="J279" s="7">
        <v>45611</v>
      </c>
      <c r="K279" s="6" t="s">
        <v>20</v>
      </c>
      <c r="L279" s="6" t="s">
        <v>16</v>
      </c>
      <c r="M279" s="8">
        <v>758.3</v>
      </c>
    </row>
    <row r="280" spans="1:13">
      <c r="A280" s="3">
        <v>2870</v>
      </c>
      <c r="B280" s="3" t="s">
        <v>329</v>
      </c>
      <c r="C280" s="3" t="s">
        <v>22</v>
      </c>
      <c r="D280" s="3" t="s">
        <v>64</v>
      </c>
      <c r="E280" s="3">
        <v>2</v>
      </c>
      <c r="F280" s="3">
        <v>839.34</v>
      </c>
      <c r="G280" s="3">
        <v>0</v>
      </c>
      <c r="H280" s="17" t="s">
        <v>432</v>
      </c>
      <c r="I280" s="3">
        <v>1678.68</v>
      </c>
      <c r="J280" s="4">
        <v>45580</v>
      </c>
      <c r="K280" s="3" t="s">
        <v>40</v>
      </c>
      <c r="L280" s="3" t="s">
        <v>32</v>
      </c>
      <c r="M280" s="5">
        <v>367.87</v>
      </c>
    </row>
    <row r="281" spans="1:13">
      <c r="A281" s="6">
        <v>2873</v>
      </c>
      <c r="B281" s="6" t="s">
        <v>330</v>
      </c>
      <c r="C281" s="6" t="s">
        <v>18</v>
      </c>
      <c r="D281" s="6" t="s">
        <v>19</v>
      </c>
      <c r="E281" s="6">
        <v>5</v>
      </c>
      <c r="F281" s="6">
        <v>1354.14</v>
      </c>
      <c r="G281" s="3">
        <v>0</v>
      </c>
      <c r="H281" s="17" t="s">
        <v>432</v>
      </c>
      <c r="I281" s="6">
        <v>6770.7</v>
      </c>
      <c r="J281" s="7">
        <v>45740</v>
      </c>
      <c r="K281" s="6" t="s">
        <v>24</v>
      </c>
      <c r="L281" s="6" t="s">
        <v>16</v>
      </c>
      <c r="M281" s="8">
        <v>2535.62</v>
      </c>
    </row>
    <row r="282" spans="1:13">
      <c r="A282" s="3">
        <v>2876</v>
      </c>
      <c r="B282" s="3" t="s">
        <v>331</v>
      </c>
      <c r="C282" s="3" t="s">
        <v>22</v>
      </c>
      <c r="D282" s="3" t="s">
        <v>26</v>
      </c>
      <c r="E282" s="3">
        <v>6</v>
      </c>
      <c r="F282" s="3">
        <v>3824.82</v>
      </c>
      <c r="G282" s="3">
        <v>0.82</v>
      </c>
      <c r="H282" s="17" t="s">
        <v>433</v>
      </c>
      <c r="I282" s="3">
        <v>4130.8100000000004</v>
      </c>
      <c r="J282" s="4">
        <v>45506</v>
      </c>
      <c r="K282" s="3" t="s">
        <v>20</v>
      </c>
      <c r="L282" s="3" t="s">
        <v>32</v>
      </c>
      <c r="M282" s="5">
        <v>688.53</v>
      </c>
    </row>
    <row r="283" spans="1:13">
      <c r="A283" s="6">
        <v>2882</v>
      </c>
      <c r="B283" s="6" t="s">
        <v>332</v>
      </c>
      <c r="C283" s="6" t="s">
        <v>52</v>
      </c>
      <c r="D283" s="6" t="s">
        <v>53</v>
      </c>
      <c r="E283" s="6">
        <v>3</v>
      </c>
      <c r="F283" s="6">
        <v>583.53</v>
      </c>
      <c r="G283" s="3">
        <v>0</v>
      </c>
      <c r="H283" s="17" t="s">
        <v>432</v>
      </c>
      <c r="I283" s="6">
        <v>1750.59</v>
      </c>
      <c r="J283" s="7">
        <v>45701</v>
      </c>
      <c r="K283" s="6" t="s">
        <v>15</v>
      </c>
      <c r="L283" s="6" t="s">
        <v>27</v>
      </c>
      <c r="M283" s="8">
        <v>2334.42</v>
      </c>
    </row>
    <row r="284" spans="1:13">
      <c r="A284" s="3">
        <v>2885</v>
      </c>
      <c r="B284" s="3" t="s">
        <v>333</v>
      </c>
      <c r="C284" s="3" t="s">
        <v>34</v>
      </c>
      <c r="D284" s="3" t="s">
        <v>85</v>
      </c>
      <c r="E284" s="3">
        <v>2</v>
      </c>
      <c r="F284" s="3">
        <v>2666.48</v>
      </c>
      <c r="G284" s="3">
        <v>0</v>
      </c>
      <c r="H284" s="17" t="s">
        <v>432</v>
      </c>
      <c r="I284" s="3">
        <v>5332.96</v>
      </c>
      <c r="J284" s="4">
        <v>45776</v>
      </c>
      <c r="K284" s="3" t="s">
        <v>40</v>
      </c>
      <c r="L284" s="3" t="s">
        <v>16</v>
      </c>
      <c r="M284" s="5">
        <v>-17.89</v>
      </c>
    </row>
    <row r="285" spans="1:13">
      <c r="A285" s="6">
        <v>2890</v>
      </c>
      <c r="B285" s="6" t="s">
        <v>334</v>
      </c>
      <c r="C285" s="6" t="s">
        <v>29</v>
      </c>
      <c r="D285" s="6" t="s">
        <v>78</v>
      </c>
      <c r="E285" s="6">
        <v>1</v>
      </c>
      <c r="F285" s="6">
        <v>2357.36</v>
      </c>
      <c r="G285" s="3">
        <v>0</v>
      </c>
      <c r="H285" s="17" t="s">
        <v>432</v>
      </c>
      <c r="I285" s="6">
        <v>2357.36</v>
      </c>
      <c r="J285" s="7">
        <v>45413</v>
      </c>
      <c r="K285" s="6" t="s">
        <v>40</v>
      </c>
      <c r="L285" s="6" t="s">
        <v>27</v>
      </c>
      <c r="M285" s="8">
        <v>468.3</v>
      </c>
    </row>
    <row r="286" spans="1:13">
      <c r="A286" s="3">
        <v>2897</v>
      </c>
      <c r="B286" s="3" t="s">
        <v>335</v>
      </c>
      <c r="C286" s="3" t="s">
        <v>13</v>
      </c>
      <c r="D286" s="3" t="s">
        <v>94</v>
      </c>
      <c r="E286" s="3">
        <v>1</v>
      </c>
      <c r="F286" s="3">
        <v>1194.44</v>
      </c>
      <c r="G286" s="3">
        <v>0</v>
      </c>
      <c r="H286" s="17" t="s">
        <v>432</v>
      </c>
      <c r="I286" s="3">
        <v>1194.44</v>
      </c>
      <c r="J286" s="4">
        <v>45824</v>
      </c>
      <c r="K286" s="3" t="s">
        <v>43</v>
      </c>
      <c r="L286" s="3" t="s">
        <v>16</v>
      </c>
      <c r="M286" s="5">
        <v>1048.51</v>
      </c>
    </row>
    <row r="287" spans="1:13">
      <c r="A287" s="6">
        <v>2899</v>
      </c>
      <c r="B287" s="6" t="s">
        <v>336</v>
      </c>
      <c r="C287" s="6" t="s">
        <v>52</v>
      </c>
      <c r="D287" s="6" t="s">
        <v>72</v>
      </c>
      <c r="E287" s="6">
        <v>2</v>
      </c>
      <c r="F287" s="6">
        <v>3086.59</v>
      </c>
      <c r="G287" s="3">
        <v>0</v>
      </c>
      <c r="H287" s="17" t="s">
        <v>432</v>
      </c>
      <c r="I287" s="6">
        <v>6173.18</v>
      </c>
      <c r="J287" s="7">
        <v>45683</v>
      </c>
      <c r="K287" s="6" t="s">
        <v>43</v>
      </c>
      <c r="L287" s="6" t="s">
        <v>32</v>
      </c>
      <c r="M287" s="8">
        <v>-745.27</v>
      </c>
    </row>
    <row r="288" spans="1:13">
      <c r="A288" s="3">
        <v>2901</v>
      </c>
      <c r="B288" s="3" t="s">
        <v>337</v>
      </c>
      <c r="C288" s="3" t="s">
        <v>18</v>
      </c>
      <c r="D288" s="3" t="s">
        <v>57</v>
      </c>
      <c r="E288" s="3">
        <v>2</v>
      </c>
      <c r="F288" s="3">
        <v>1817.71</v>
      </c>
      <c r="G288" s="3">
        <v>0</v>
      </c>
      <c r="H288" s="17" t="s">
        <v>432</v>
      </c>
      <c r="I288" s="3">
        <v>3635.42</v>
      </c>
      <c r="J288" s="4">
        <v>45775</v>
      </c>
      <c r="K288" s="3" t="s">
        <v>15</v>
      </c>
      <c r="L288" s="3" t="s">
        <v>32</v>
      </c>
      <c r="M288" s="5">
        <v>391.06</v>
      </c>
    </row>
    <row r="289" spans="1:13">
      <c r="A289" s="6">
        <v>2902</v>
      </c>
      <c r="B289" s="6" t="s">
        <v>338</v>
      </c>
      <c r="C289" s="6" t="s">
        <v>22</v>
      </c>
      <c r="D289" s="6" t="s">
        <v>23</v>
      </c>
      <c r="E289" s="6">
        <v>5</v>
      </c>
      <c r="F289" s="6">
        <v>3153.37</v>
      </c>
      <c r="G289" s="3">
        <v>0</v>
      </c>
      <c r="H289" s="17" t="s">
        <v>432</v>
      </c>
      <c r="I289" s="6">
        <v>15766.85</v>
      </c>
      <c r="J289" s="7">
        <v>45563</v>
      </c>
      <c r="K289" s="6" t="s">
        <v>20</v>
      </c>
      <c r="L289" s="6" t="s">
        <v>27</v>
      </c>
      <c r="M289" s="8">
        <v>-594.19000000000005</v>
      </c>
    </row>
    <row r="290" spans="1:13">
      <c r="A290" s="3">
        <v>2904</v>
      </c>
      <c r="B290" s="3" t="s">
        <v>339</v>
      </c>
      <c r="C290" s="3" t="s">
        <v>34</v>
      </c>
      <c r="D290" s="3" t="s">
        <v>37</v>
      </c>
      <c r="E290" s="3">
        <v>5</v>
      </c>
      <c r="F290" s="3">
        <v>1202.73</v>
      </c>
      <c r="G290" s="3">
        <v>0</v>
      </c>
      <c r="H290" s="17" t="s">
        <v>432</v>
      </c>
      <c r="I290" s="3">
        <v>6013.65</v>
      </c>
      <c r="J290" s="4">
        <v>45599</v>
      </c>
      <c r="K290" s="3" t="s">
        <v>31</v>
      </c>
      <c r="L290" s="3" t="s">
        <v>32</v>
      </c>
      <c r="M290" s="5">
        <v>658.6</v>
      </c>
    </row>
    <row r="291" spans="1:13">
      <c r="A291" s="6">
        <v>2919</v>
      </c>
      <c r="B291" s="6" t="s">
        <v>340</v>
      </c>
      <c r="C291" s="6" t="s">
        <v>22</v>
      </c>
      <c r="D291" s="6" t="s">
        <v>39</v>
      </c>
      <c r="E291" s="6">
        <v>2</v>
      </c>
      <c r="F291" s="6">
        <v>535.62</v>
      </c>
      <c r="G291" s="3">
        <v>0</v>
      </c>
      <c r="H291" s="17" t="s">
        <v>432</v>
      </c>
      <c r="I291" s="6">
        <v>1071.24</v>
      </c>
      <c r="J291" s="7">
        <v>45500</v>
      </c>
      <c r="K291" s="6" t="s">
        <v>20</v>
      </c>
      <c r="L291" s="6" t="s">
        <v>32</v>
      </c>
      <c r="M291" s="8">
        <v>-637.47</v>
      </c>
    </row>
    <row r="292" spans="1:13">
      <c r="A292" s="3">
        <v>2926</v>
      </c>
      <c r="B292" s="3" t="s">
        <v>341</v>
      </c>
      <c r="C292" s="3" t="s">
        <v>29</v>
      </c>
      <c r="D292" s="3" t="s">
        <v>78</v>
      </c>
      <c r="E292" s="3">
        <v>4</v>
      </c>
      <c r="F292" s="3">
        <v>3263.06</v>
      </c>
      <c r="G292" s="3">
        <v>0.16</v>
      </c>
      <c r="H292" s="17" t="s">
        <v>433</v>
      </c>
      <c r="I292" s="3">
        <v>10963.88</v>
      </c>
      <c r="J292" s="4">
        <v>45611</v>
      </c>
      <c r="K292" s="3" t="s">
        <v>15</v>
      </c>
      <c r="L292" s="3" t="s">
        <v>27</v>
      </c>
      <c r="M292" s="5">
        <v>2428.73</v>
      </c>
    </row>
    <row r="293" spans="1:13">
      <c r="A293" s="6">
        <v>2944</v>
      </c>
      <c r="B293" s="6" t="s">
        <v>342</v>
      </c>
      <c r="C293" s="6" t="s">
        <v>29</v>
      </c>
      <c r="D293" s="6" t="s">
        <v>83</v>
      </c>
      <c r="E293" s="6">
        <v>1</v>
      </c>
      <c r="F293" s="6">
        <v>1313.35</v>
      </c>
      <c r="G293" s="3">
        <v>0.2</v>
      </c>
      <c r="H293" s="17" t="s">
        <v>433</v>
      </c>
      <c r="I293" s="6">
        <v>1050.68</v>
      </c>
      <c r="J293" s="7">
        <v>45722</v>
      </c>
      <c r="K293" s="6" t="s">
        <v>31</v>
      </c>
      <c r="L293" s="6" t="s">
        <v>32</v>
      </c>
      <c r="M293" s="8">
        <v>-384.05</v>
      </c>
    </row>
    <row r="294" spans="1:13">
      <c r="A294" s="3">
        <v>2948</v>
      </c>
      <c r="B294" s="3" t="s">
        <v>343</v>
      </c>
      <c r="C294" s="3" t="s">
        <v>22</v>
      </c>
      <c r="D294" s="3" t="s">
        <v>39</v>
      </c>
      <c r="E294" s="3">
        <v>5</v>
      </c>
      <c r="F294" s="3">
        <v>2494.15</v>
      </c>
      <c r="G294" s="3">
        <v>0</v>
      </c>
      <c r="H294" s="17" t="s">
        <v>432</v>
      </c>
      <c r="I294" s="3">
        <v>12470.75</v>
      </c>
      <c r="J294" s="4">
        <v>45695</v>
      </c>
      <c r="K294" s="3" t="s">
        <v>43</v>
      </c>
      <c r="L294" s="3" t="s">
        <v>16</v>
      </c>
      <c r="M294" s="5">
        <v>-901.7</v>
      </c>
    </row>
    <row r="295" spans="1:13">
      <c r="A295" s="6">
        <v>2952</v>
      </c>
      <c r="B295" s="6" t="s">
        <v>344</v>
      </c>
      <c r="C295" s="6" t="s">
        <v>18</v>
      </c>
      <c r="D295" s="6" t="s">
        <v>46</v>
      </c>
      <c r="E295" s="6">
        <v>2</v>
      </c>
      <c r="F295" s="6">
        <v>470.68</v>
      </c>
      <c r="G295" s="3">
        <v>0.06</v>
      </c>
      <c r="H295" s="17" t="s">
        <v>433</v>
      </c>
      <c r="I295" s="6">
        <v>884.88</v>
      </c>
      <c r="J295" s="7">
        <v>45615</v>
      </c>
      <c r="K295" s="6" t="s">
        <v>24</v>
      </c>
      <c r="L295" s="6" t="s">
        <v>16</v>
      </c>
      <c r="M295" s="8">
        <v>2812.7</v>
      </c>
    </row>
    <row r="296" spans="1:13">
      <c r="A296" s="3">
        <v>2971</v>
      </c>
      <c r="B296" s="3" t="s">
        <v>345</v>
      </c>
      <c r="C296" s="3" t="s">
        <v>29</v>
      </c>
      <c r="D296" s="3" t="s">
        <v>48</v>
      </c>
      <c r="E296" s="3">
        <v>6</v>
      </c>
      <c r="F296" s="3">
        <v>1507.6</v>
      </c>
      <c r="G296" s="3">
        <v>0</v>
      </c>
      <c r="H296" s="17" t="s">
        <v>432</v>
      </c>
      <c r="I296" s="3">
        <v>9045.6</v>
      </c>
      <c r="J296" s="4">
        <v>45699</v>
      </c>
      <c r="K296" s="3" t="s">
        <v>43</v>
      </c>
      <c r="L296" s="3" t="s">
        <v>32</v>
      </c>
      <c r="M296" s="5">
        <v>2280.06</v>
      </c>
    </row>
    <row r="297" spans="1:13">
      <c r="A297" s="6">
        <v>2974</v>
      </c>
      <c r="B297" s="6" t="s">
        <v>346</v>
      </c>
      <c r="C297" s="6" t="s">
        <v>52</v>
      </c>
      <c r="D297" s="6" t="s">
        <v>69</v>
      </c>
      <c r="E297" s="6">
        <v>6</v>
      </c>
      <c r="F297" s="6">
        <v>1765.76</v>
      </c>
      <c r="G297" s="3">
        <v>0.36</v>
      </c>
      <c r="H297" s="17" t="s">
        <v>433</v>
      </c>
      <c r="I297" s="6">
        <v>6780.52</v>
      </c>
      <c r="J297" s="7">
        <v>45798</v>
      </c>
      <c r="K297" s="6" t="s">
        <v>24</v>
      </c>
      <c r="L297" s="6" t="s">
        <v>16</v>
      </c>
      <c r="M297" s="8">
        <v>2947</v>
      </c>
    </row>
    <row r="298" spans="1:13">
      <c r="A298" s="3">
        <v>2982</v>
      </c>
      <c r="B298" s="3" t="s">
        <v>347</v>
      </c>
      <c r="C298" s="3" t="s">
        <v>34</v>
      </c>
      <c r="D298" s="3" t="s">
        <v>110</v>
      </c>
      <c r="E298" s="3">
        <v>1</v>
      </c>
      <c r="F298" s="3">
        <v>2497.52</v>
      </c>
      <c r="G298" s="3">
        <v>0</v>
      </c>
      <c r="H298" s="17" t="s">
        <v>432</v>
      </c>
      <c r="I298" s="3">
        <v>2497.52</v>
      </c>
      <c r="J298" s="4">
        <v>45253</v>
      </c>
      <c r="K298" s="3" t="s">
        <v>24</v>
      </c>
      <c r="L298" s="3" t="s">
        <v>27</v>
      </c>
      <c r="M298" s="5">
        <v>-523.42999999999995</v>
      </c>
    </row>
    <row r="299" spans="1:13">
      <c r="A299" s="6">
        <v>2984</v>
      </c>
      <c r="B299" s="6" t="s">
        <v>348</v>
      </c>
      <c r="C299" s="6" t="s">
        <v>18</v>
      </c>
      <c r="D299" s="6" t="s">
        <v>19</v>
      </c>
      <c r="E299" s="6">
        <v>4</v>
      </c>
      <c r="F299" s="6">
        <v>2062.9</v>
      </c>
      <c r="G299" s="3">
        <v>0</v>
      </c>
      <c r="H299" s="17" t="s">
        <v>432</v>
      </c>
      <c r="I299" s="6">
        <v>8251.6</v>
      </c>
      <c r="J299" s="7">
        <v>45506</v>
      </c>
      <c r="K299" s="6" t="s">
        <v>15</v>
      </c>
      <c r="L299" s="6" t="s">
        <v>32</v>
      </c>
      <c r="M299" s="8">
        <v>2471.06</v>
      </c>
    </row>
    <row r="300" spans="1:13">
      <c r="A300" s="3">
        <v>2989</v>
      </c>
      <c r="B300" s="3" t="s">
        <v>349</v>
      </c>
      <c r="C300" s="3" t="s">
        <v>18</v>
      </c>
      <c r="D300" s="3" t="s">
        <v>46</v>
      </c>
      <c r="E300" s="3">
        <v>1</v>
      </c>
      <c r="F300" s="3">
        <v>4084.97</v>
      </c>
      <c r="G300" s="3">
        <v>0.83</v>
      </c>
      <c r="H300" s="17" t="s">
        <v>433</v>
      </c>
      <c r="I300" s="3">
        <v>694.44</v>
      </c>
      <c r="J300" s="4">
        <v>45320</v>
      </c>
      <c r="K300" s="3" t="s">
        <v>15</v>
      </c>
      <c r="L300" s="3" t="s">
        <v>16</v>
      </c>
      <c r="M300" s="5">
        <v>2395.4299999999998</v>
      </c>
    </row>
    <row r="301" spans="1:13">
      <c r="A301" s="6">
        <v>3001</v>
      </c>
      <c r="B301" s="6" t="s">
        <v>350</v>
      </c>
      <c r="C301" s="6" t="s">
        <v>13</v>
      </c>
      <c r="D301" s="6" t="s">
        <v>94</v>
      </c>
      <c r="E301" s="6">
        <v>1</v>
      </c>
      <c r="F301" s="6">
        <v>1171.57</v>
      </c>
      <c r="G301" s="3">
        <v>0</v>
      </c>
      <c r="H301" s="17" t="s">
        <v>432</v>
      </c>
      <c r="I301" s="6">
        <v>1171.57</v>
      </c>
      <c r="J301" s="7">
        <v>45601</v>
      </c>
      <c r="K301" s="6" t="s">
        <v>40</v>
      </c>
      <c r="L301" s="6" t="s">
        <v>27</v>
      </c>
      <c r="M301" s="8">
        <v>2541.21</v>
      </c>
    </row>
    <row r="302" spans="1:13">
      <c r="A302" s="3">
        <v>3004</v>
      </c>
      <c r="B302" s="3" t="s">
        <v>351</v>
      </c>
      <c r="C302" s="3" t="s">
        <v>34</v>
      </c>
      <c r="D302" s="3" t="s">
        <v>37</v>
      </c>
      <c r="E302" s="3">
        <v>3</v>
      </c>
      <c r="F302" s="3">
        <v>1759.66</v>
      </c>
      <c r="G302" s="3">
        <v>0</v>
      </c>
      <c r="H302" s="17" t="s">
        <v>432</v>
      </c>
      <c r="I302" s="3">
        <v>5278.98</v>
      </c>
      <c r="J302" s="4">
        <v>45751</v>
      </c>
      <c r="K302" s="3" t="s">
        <v>15</v>
      </c>
      <c r="L302" s="3" t="s">
        <v>27</v>
      </c>
      <c r="M302" s="5">
        <v>1133.07</v>
      </c>
    </row>
    <row r="303" spans="1:13">
      <c r="A303" s="6">
        <v>3007</v>
      </c>
      <c r="B303" s="6" t="s">
        <v>352</v>
      </c>
      <c r="C303" s="6" t="s">
        <v>18</v>
      </c>
      <c r="D303" s="6" t="s">
        <v>19</v>
      </c>
      <c r="E303" s="6">
        <v>2</v>
      </c>
      <c r="F303" s="6">
        <v>3922.01</v>
      </c>
      <c r="G303" s="3">
        <v>0</v>
      </c>
      <c r="H303" s="17" t="s">
        <v>432</v>
      </c>
      <c r="I303" s="6">
        <v>7844.02</v>
      </c>
      <c r="J303" s="7">
        <v>45726</v>
      </c>
      <c r="K303" s="6" t="s">
        <v>20</v>
      </c>
      <c r="L303" s="6" t="s">
        <v>16</v>
      </c>
      <c r="M303" s="8">
        <v>2186.58</v>
      </c>
    </row>
    <row r="304" spans="1:13">
      <c r="A304" s="3">
        <v>3022</v>
      </c>
      <c r="B304" s="3" t="s">
        <v>353</v>
      </c>
      <c r="C304" s="3" t="s">
        <v>52</v>
      </c>
      <c r="D304" s="3" t="s">
        <v>62</v>
      </c>
      <c r="E304" s="3">
        <v>3</v>
      </c>
      <c r="F304" s="3">
        <v>1695.61</v>
      </c>
      <c r="G304" s="3">
        <v>0</v>
      </c>
      <c r="H304" s="17" t="s">
        <v>432</v>
      </c>
      <c r="I304" s="3">
        <v>5086.83</v>
      </c>
      <c r="J304" s="4">
        <v>45512</v>
      </c>
      <c r="K304" s="3" t="s">
        <v>43</v>
      </c>
      <c r="L304" s="3" t="s">
        <v>32</v>
      </c>
      <c r="M304" s="5">
        <v>297.83</v>
      </c>
    </row>
    <row r="305" spans="1:13">
      <c r="A305" s="6">
        <v>3052</v>
      </c>
      <c r="B305" s="6" t="s">
        <v>354</v>
      </c>
      <c r="C305" s="6" t="s">
        <v>52</v>
      </c>
      <c r="D305" s="6" t="s">
        <v>62</v>
      </c>
      <c r="E305" s="6">
        <v>1</v>
      </c>
      <c r="F305" s="6">
        <v>1290.42</v>
      </c>
      <c r="G305" s="3">
        <v>0</v>
      </c>
      <c r="H305" s="17" t="s">
        <v>432</v>
      </c>
      <c r="I305" s="6">
        <v>1290.42</v>
      </c>
      <c r="J305" s="7">
        <v>45403</v>
      </c>
      <c r="K305" s="6" t="s">
        <v>24</v>
      </c>
      <c r="L305" s="6" t="s">
        <v>16</v>
      </c>
      <c r="M305" s="8">
        <v>-196.63</v>
      </c>
    </row>
    <row r="306" spans="1:13">
      <c r="A306" s="3">
        <v>3059</v>
      </c>
      <c r="B306" s="3" t="s">
        <v>355</v>
      </c>
      <c r="C306" s="3" t="s">
        <v>34</v>
      </c>
      <c r="D306" s="3" t="s">
        <v>37</v>
      </c>
      <c r="E306" s="3">
        <v>2</v>
      </c>
      <c r="F306" s="3">
        <v>4949.17</v>
      </c>
      <c r="G306" s="3">
        <v>0</v>
      </c>
      <c r="H306" s="17" t="s">
        <v>432</v>
      </c>
      <c r="I306" s="3">
        <v>9898.34</v>
      </c>
      <c r="J306" s="4">
        <v>45785</v>
      </c>
      <c r="K306" s="3" t="s">
        <v>20</v>
      </c>
      <c r="L306" s="3" t="s">
        <v>16</v>
      </c>
      <c r="M306" s="5">
        <v>1267.49</v>
      </c>
    </row>
    <row r="307" spans="1:13">
      <c r="A307" s="6">
        <v>3061</v>
      </c>
      <c r="B307" s="6" t="s">
        <v>356</v>
      </c>
      <c r="C307" s="6" t="s">
        <v>34</v>
      </c>
      <c r="D307" s="6" t="s">
        <v>37</v>
      </c>
      <c r="E307" s="6">
        <v>1</v>
      </c>
      <c r="F307" s="6">
        <v>1873.39</v>
      </c>
      <c r="G307" s="3">
        <v>0.74</v>
      </c>
      <c r="H307" s="17" t="s">
        <v>433</v>
      </c>
      <c r="I307" s="6">
        <v>487.08</v>
      </c>
      <c r="J307" s="7">
        <v>45646</v>
      </c>
      <c r="K307" s="6" t="s">
        <v>31</v>
      </c>
      <c r="L307" s="6" t="s">
        <v>16</v>
      </c>
      <c r="M307" s="8">
        <v>1596.53</v>
      </c>
    </row>
    <row r="308" spans="1:13">
      <c r="A308" s="3">
        <v>3065</v>
      </c>
      <c r="B308" s="3" t="s">
        <v>357</v>
      </c>
      <c r="C308" s="3" t="s">
        <v>34</v>
      </c>
      <c r="D308" s="3" t="s">
        <v>37</v>
      </c>
      <c r="E308" s="3">
        <v>1</v>
      </c>
      <c r="F308" s="3">
        <v>873.64</v>
      </c>
      <c r="G308" s="3">
        <v>0.17</v>
      </c>
      <c r="H308" s="17" t="s">
        <v>433</v>
      </c>
      <c r="I308" s="3">
        <v>725.12</v>
      </c>
      <c r="J308" s="4">
        <v>45736</v>
      </c>
      <c r="K308" s="3" t="s">
        <v>40</v>
      </c>
      <c r="L308" s="3" t="s">
        <v>27</v>
      </c>
      <c r="M308" s="5">
        <v>1107.8499999999999</v>
      </c>
    </row>
    <row r="309" spans="1:13">
      <c r="A309" s="6">
        <v>3089</v>
      </c>
      <c r="B309" s="6" t="s">
        <v>358</v>
      </c>
      <c r="C309" s="6" t="s">
        <v>52</v>
      </c>
      <c r="D309" s="6" t="s">
        <v>62</v>
      </c>
      <c r="E309" s="6">
        <v>2</v>
      </c>
      <c r="F309" s="6">
        <v>3153.72</v>
      </c>
      <c r="G309" s="3">
        <v>0</v>
      </c>
      <c r="H309" s="17" t="s">
        <v>432</v>
      </c>
      <c r="I309" s="6">
        <v>6307.44</v>
      </c>
      <c r="J309" s="7">
        <v>45692</v>
      </c>
      <c r="K309" s="6" t="s">
        <v>31</v>
      </c>
      <c r="L309" s="6" t="s">
        <v>16</v>
      </c>
      <c r="M309" s="8">
        <v>2686.96</v>
      </c>
    </row>
    <row r="310" spans="1:13">
      <c r="A310" s="3">
        <v>3090</v>
      </c>
      <c r="B310" s="3" t="s">
        <v>359</v>
      </c>
      <c r="C310" s="3" t="s">
        <v>29</v>
      </c>
      <c r="D310" s="3" t="s">
        <v>78</v>
      </c>
      <c r="E310" s="3">
        <v>2</v>
      </c>
      <c r="F310" s="3">
        <v>3033.2</v>
      </c>
      <c r="G310" s="3">
        <v>0</v>
      </c>
      <c r="H310" s="17" t="s">
        <v>432</v>
      </c>
      <c r="I310" s="3">
        <v>6066.4</v>
      </c>
      <c r="J310" s="4">
        <v>45537</v>
      </c>
      <c r="K310" s="3" t="s">
        <v>40</v>
      </c>
      <c r="L310" s="3" t="s">
        <v>16</v>
      </c>
      <c r="M310" s="5">
        <v>490.69</v>
      </c>
    </row>
    <row r="311" spans="1:13">
      <c r="A311" s="6">
        <v>3093</v>
      </c>
      <c r="B311" s="6" t="s">
        <v>360</v>
      </c>
      <c r="C311" s="6" t="s">
        <v>18</v>
      </c>
      <c r="D311" s="6" t="s">
        <v>46</v>
      </c>
      <c r="E311" s="6">
        <v>2</v>
      </c>
      <c r="F311" s="6">
        <v>1551.41</v>
      </c>
      <c r="G311" s="3">
        <v>0.54</v>
      </c>
      <c r="H311" s="17" t="s">
        <v>433</v>
      </c>
      <c r="I311" s="6">
        <v>1427.3</v>
      </c>
      <c r="J311" s="7">
        <v>45646</v>
      </c>
      <c r="K311" s="6" t="s">
        <v>43</v>
      </c>
      <c r="L311" s="6" t="s">
        <v>32</v>
      </c>
      <c r="M311" s="8">
        <v>763.37</v>
      </c>
    </row>
    <row r="312" spans="1:13">
      <c r="A312" s="3">
        <v>3096</v>
      </c>
      <c r="B312" s="3" t="s">
        <v>361</v>
      </c>
      <c r="C312" s="3" t="s">
        <v>18</v>
      </c>
      <c r="D312" s="3" t="s">
        <v>46</v>
      </c>
      <c r="E312" s="3">
        <v>2</v>
      </c>
      <c r="F312" s="3">
        <v>2312.09</v>
      </c>
      <c r="G312" s="3">
        <v>0</v>
      </c>
      <c r="H312" s="17" t="s">
        <v>432</v>
      </c>
      <c r="I312" s="3">
        <v>4624.18</v>
      </c>
      <c r="J312" s="4">
        <v>45821</v>
      </c>
      <c r="K312" s="3" t="s">
        <v>20</v>
      </c>
      <c r="L312" s="3" t="s">
        <v>27</v>
      </c>
      <c r="M312" s="5">
        <v>508.96</v>
      </c>
    </row>
    <row r="313" spans="1:13">
      <c r="A313" s="6">
        <v>3113</v>
      </c>
      <c r="B313" s="6" t="s">
        <v>362</v>
      </c>
      <c r="C313" s="6" t="s">
        <v>18</v>
      </c>
      <c r="D313" s="6" t="s">
        <v>19</v>
      </c>
      <c r="E313" s="6">
        <v>4</v>
      </c>
      <c r="F313" s="6">
        <v>3256.86</v>
      </c>
      <c r="G313" s="3">
        <v>0.77</v>
      </c>
      <c r="H313" s="17" t="s">
        <v>433</v>
      </c>
      <c r="I313" s="6">
        <v>2996.31</v>
      </c>
      <c r="J313" s="7">
        <v>45548</v>
      </c>
      <c r="K313" s="6" t="s">
        <v>20</v>
      </c>
      <c r="L313" s="6" t="s">
        <v>16</v>
      </c>
      <c r="M313" s="8">
        <v>-109.08</v>
      </c>
    </row>
    <row r="314" spans="1:13">
      <c r="A314" s="3">
        <v>3125</v>
      </c>
      <c r="B314" s="3" t="s">
        <v>363</v>
      </c>
      <c r="C314" s="3" t="s">
        <v>29</v>
      </c>
      <c r="D314" s="3" t="s">
        <v>83</v>
      </c>
      <c r="E314" s="3">
        <v>5</v>
      </c>
      <c r="F314" s="3">
        <v>4264.79</v>
      </c>
      <c r="G314" s="3">
        <v>0</v>
      </c>
      <c r="H314" s="17" t="s">
        <v>432</v>
      </c>
      <c r="I314" s="3">
        <v>21323.95</v>
      </c>
      <c r="J314" s="4">
        <v>45568</v>
      </c>
      <c r="K314" s="3" t="s">
        <v>24</v>
      </c>
      <c r="L314" s="3" t="s">
        <v>32</v>
      </c>
      <c r="M314" s="5">
        <v>2388.91</v>
      </c>
    </row>
    <row r="315" spans="1:13">
      <c r="A315" s="6">
        <v>3133</v>
      </c>
      <c r="B315" s="6" t="s">
        <v>364</v>
      </c>
      <c r="C315" s="6" t="s">
        <v>13</v>
      </c>
      <c r="D315" s="6" t="s">
        <v>94</v>
      </c>
      <c r="E315" s="6">
        <v>1</v>
      </c>
      <c r="F315" s="6">
        <v>974.54</v>
      </c>
      <c r="G315" s="3">
        <v>0.44</v>
      </c>
      <c r="H315" s="17" t="s">
        <v>433</v>
      </c>
      <c r="I315" s="6">
        <v>545.74</v>
      </c>
      <c r="J315" s="7">
        <v>45570</v>
      </c>
      <c r="K315" s="6" t="s">
        <v>31</v>
      </c>
      <c r="L315" s="6" t="s">
        <v>16</v>
      </c>
      <c r="M315" s="8">
        <v>2655.22</v>
      </c>
    </row>
    <row r="316" spans="1:13">
      <c r="A316" s="3">
        <v>3142</v>
      </c>
      <c r="B316" s="3" t="s">
        <v>365</v>
      </c>
      <c r="C316" s="3" t="s">
        <v>29</v>
      </c>
      <c r="D316" s="3" t="s">
        <v>48</v>
      </c>
      <c r="E316" s="3">
        <v>1</v>
      </c>
      <c r="F316" s="3">
        <v>4887.3599999999997</v>
      </c>
      <c r="G316" s="3">
        <v>0</v>
      </c>
      <c r="H316" s="17" t="s">
        <v>432</v>
      </c>
      <c r="I316" s="3">
        <v>4887.3599999999997</v>
      </c>
      <c r="J316" s="4">
        <v>45594</v>
      </c>
      <c r="K316" s="3" t="s">
        <v>31</v>
      </c>
      <c r="L316" s="3" t="s">
        <v>16</v>
      </c>
      <c r="M316" s="5">
        <v>-243.32</v>
      </c>
    </row>
    <row r="317" spans="1:13">
      <c r="A317" s="6">
        <v>3152</v>
      </c>
      <c r="B317" s="6" t="s">
        <v>366</v>
      </c>
      <c r="C317" s="6" t="s">
        <v>34</v>
      </c>
      <c r="D317" s="6" t="s">
        <v>35</v>
      </c>
      <c r="E317" s="6">
        <v>2</v>
      </c>
      <c r="F317" s="6">
        <v>2116.65</v>
      </c>
      <c r="G317" s="3">
        <v>0.21</v>
      </c>
      <c r="H317" s="17" t="s">
        <v>433</v>
      </c>
      <c r="I317" s="6">
        <v>3344.31</v>
      </c>
      <c r="J317" s="7">
        <v>45563</v>
      </c>
      <c r="K317" s="6" t="s">
        <v>15</v>
      </c>
      <c r="L317" s="6" t="s">
        <v>27</v>
      </c>
      <c r="M317" s="8">
        <v>385.42</v>
      </c>
    </row>
    <row r="318" spans="1:13">
      <c r="A318" s="3">
        <v>1047</v>
      </c>
      <c r="B318" s="3" t="s">
        <v>367</v>
      </c>
      <c r="C318" s="3" t="s">
        <v>34</v>
      </c>
      <c r="D318" s="3" t="s">
        <v>110</v>
      </c>
      <c r="E318" s="3">
        <v>1</v>
      </c>
      <c r="F318" s="3">
        <v>3154.48</v>
      </c>
      <c r="G318" s="3">
        <v>0</v>
      </c>
      <c r="H318" s="17" t="s">
        <v>432</v>
      </c>
      <c r="I318" s="3">
        <v>3154.48</v>
      </c>
      <c r="J318" s="4">
        <v>45501</v>
      </c>
      <c r="K318" s="3" t="s">
        <v>24</v>
      </c>
      <c r="L318" s="3" t="s">
        <v>32</v>
      </c>
      <c r="M318" s="5">
        <v>-243.92</v>
      </c>
    </row>
    <row r="319" spans="1:13">
      <c r="A319" s="6">
        <v>3157</v>
      </c>
      <c r="B319" s="6" t="s">
        <v>368</v>
      </c>
      <c r="C319" s="6" t="s">
        <v>52</v>
      </c>
      <c r="D319" s="6" t="s">
        <v>53</v>
      </c>
      <c r="E319" s="6">
        <v>6</v>
      </c>
      <c r="F319" s="6">
        <v>1768.88</v>
      </c>
      <c r="G319" s="3">
        <v>0</v>
      </c>
      <c r="H319" s="17" t="s">
        <v>432</v>
      </c>
      <c r="I319" s="6">
        <v>10613.28</v>
      </c>
      <c r="J319" s="7">
        <v>45310</v>
      </c>
      <c r="K319" s="6" t="s">
        <v>40</v>
      </c>
      <c r="L319" s="6" t="s">
        <v>16</v>
      </c>
      <c r="M319" s="8">
        <v>-750.14</v>
      </c>
    </row>
    <row r="320" spans="1:13">
      <c r="A320" s="3">
        <v>3160</v>
      </c>
      <c r="B320" s="3" t="s">
        <v>369</v>
      </c>
      <c r="C320" s="3" t="s">
        <v>22</v>
      </c>
      <c r="D320" s="3" t="s">
        <v>64</v>
      </c>
      <c r="E320" s="3">
        <v>6</v>
      </c>
      <c r="F320" s="3">
        <v>4976.8100000000004</v>
      </c>
      <c r="G320" s="3">
        <v>0</v>
      </c>
      <c r="H320" s="17" t="s">
        <v>432</v>
      </c>
      <c r="I320" s="3">
        <v>29860.86</v>
      </c>
      <c r="J320" s="4">
        <v>45794</v>
      </c>
      <c r="K320" s="3" t="s">
        <v>24</v>
      </c>
      <c r="L320" s="3" t="s">
        <v>32</v>
      </c>
      <c r="M320" s="5">
        <v>845.06</v>
      </c>
    </row>
    <row r="321" spans="1:13">
      <c r="A321" s="6">
        <v>3168</v>
      </c>
      <c r="B321" s="6" t="s">
        <v>370</v>
      </c>
      <c r="C321" s="6" t="s">
        <v>22</v>
      </c>
      <c r="D321" s="6" t="s">
        <v>64</v>
      </c>
      <c r="E321" s="6">
        <v>1</v>
      </c>
      <c r="F321" s="6">
        <v>1845.75</v>
      </c>
      <c r="G321" s="3">
        <v>0</v>
      </c>
      <c r="H321" s="17" t="s">
        <v>432</v>
      </c>
      <c r="I321" s="6">
        <v>1845.75</v>
      </c>
      <c r="J321" s="7">
        <v>45814</v>
      </c>
      <c r="K321" s="6" t="s">
        <v>20</v>
      </c>
      <c r="L321" s="6" t="s">
        <v>16</v>
      </c>
      <c r="M321" s="8">
        <v>268.45</v>
      </c>
    </row>
    <row r="322" spans="1:13">
      <c r="A322" s="3">
        <v>3172</v>
      </c>
      <c r="B322" s="3" t="s">
        <v>371</v>
      </c>
      <c r="C322" s="3" t="s">
        <v>18</v>
      </c>
      <c r="D322" s="3" t="s">
        <v>57</v>
      </c>
      <c r="E322" s="3">
        <v>3</v>
      </c>
      <c r="F322" s="3">
        <v>4433.3500000000004</v>
      </c>
      <c r="G322" s="3">
        <v>0</v>
      </c>
      <c r="H322" s="17" t="s">
        <v>432</v>
      </c>
      <c r="I322" s="3">
        <v>13300.05</v>
      </c>
      <c r="J322" s="4">
        <v>45624</v>
      </c>
      <c r="K322" s="3" t="s">
        <v>40</v>
      </c>
      <c r="L322" s="3" t="s">
        <v>27</v>
      </c>
      <c r="M322" s="5">
        <v>329.75</v>
      </c>
    </row>
    <row r="323" spans="1:13">
      <c r="A323" s="6">
        <v>3175</v>
      </c>
      <c r="B323" s="6" t="s">
        <v>372</v>
      </c>
      <c r="C323" s="6" t="s">
        <v>22</v>
      </c>
      <c r="D323" s="6" t="s">
        <v>26</v>
      </c>
      <c r="E323" s="6">
        <v>3</v>
      </c>
      <c r="F323" s="6">
        <v>2937.09</v>
      </c>
      <c r="G323" s="3">
        <v>0</v>
      </c>
      <c r="H323" s="17" t="s">
        <v>432</v>
      </c>
      <c r="I323" s="6">
        <v>8811.27</v>
      </c>
      <c r="J323" s="7">
        <v>45378</v>
      </c>
      <c r="K323" s="6" t="s">
        <v>40</v>
      </c>
      <c r="L323" s="6" t="s">
        <v>32</v>
      </c>
      <c r="M323" s="8">
        <v>2471.63</v>
      </c>
    </row>
    <row r="324" spans="1:13">
      <c r="A324" s="3">
        <v>3179</v>
      </c>
      <c r="B324" s="3" t="s">
        <v>373</v>
      </c>
      <c r="C324" s="3" t="s">
        <v>13</v>
      </c>
      <c r="D324" s="3" t="s">
        <v>14</v>
      </c>
      <c r="E324" s="3">
        <v>1</v>
      </c>
      <c r="F324" s="3">
        <v>2057.88</v>
      </c>
      <c r="G324" s="3">
        <v>0</v>
      </c>
      <c r="H324" s="17" t="s">
        <v>432</v>
      </c>
      <c r="I324" s="3">
        <v>2057.88</v>
      </c>
      <c r="J324" s="4">
        <v>45588</v>
      </c>
      <c r="K324" s="3" t="s">
        <v>24</v>
      </c>
      <c r="L324" s="3" t="s">
        <v>32</v>
      </c>
      <c r="M324" s="5">
        <v>932.33</v>
      </c>
    </row>
    <row r="325" spans="1:13">
      <c r="A325" s="6">
        <v>3180</v>
      </c>
      <c r="B325" s="6" t="s">
        <v>374</v>
      </c>
      <c r="C325" s="6" t="s">
        <v>18</v>
      </c>
      <c r="D325" s="6" t="s">
        <v>46</v>
      </c>
      <c r="E325" s="6">
        <v>5</v>
      </c>
      <c r="F325" s="6">
        <v>1981.32</v>
      </c>
      <c r="G325" s="3">
        <v>0</v>
      </c>
      <c r="H325" s="17" t="s">
        <v>432</v>
      </c>
      <c r="I325" s="6">
        <v>9906.6</v>
      </c>
      <c r="J325" s="7">
        <v>45519</v>
      </c>
      <c r="K325" s="6" t="s">
        <v>20</v>
      </c>
      <c r="L325" s="6" t="s">
        <v>27</v>
      </c>
      <c r="M325" s="8">
        <v>1113.19</v>
      </c>
    </row>
    <row r="326" spans="1:13">
      <c r="A326" s="3">
        <v>3187</v>
      </c>
      <c r="B326" s="3" t="s">
        <v>375</v>
      </c>
      <c r="C326" s="3" t="s">
        <v>29</v>
      </c>
      <c r="D326" s="3" t="s">
        <v>30</v>
      </c>
      <c r="E326" s="3">
        <v>6</v>
      </c>
      <c r="F326" s="3">
        <v>3998.97</v>
      </c>
      <c r="G326" s="3">
        <v>0</v>
      </c>
      <c r="H326" s="17" t="s">
        <v>432</v>
      </c>
      <c r="I326" s="3">
        <v>23993.82</v>
      </c>
      <c r="J326" s="4">
        <v>45321</v>
      </c>
      <c r="K326" s="3" t="s">
        <v>15</v>
      </c>
      <c r="L326" s="3" t="s">
        <v>32</v>
      </c>
      <c r="M326" s="5">
        <v>716.49</v>
      </c>
    </row>
    <row r="327" spans="1:13">
      <c r="A327" s="6">
        <v>3192</v>
      </c>
      <c r="B327" s="6" t="s">
        <v>376</v>
      </c>
      <c r="C327" s="6" t="s">
        <v>22</v>
      </c>
      <c r="D327" s="6" t="s">
        <v>26</v>
      </c>
      <c r="E327" s="6">
        <v>2</v>
      </c>
      <c r="F327" s="6">
        <v>3568.45</v>
      </c>
      <c r="G327" s="3">
        <v>0.37</v>
      </c>
      <c r="H327" s="17" t="s">
        <v>433</v>
      </c>
      <c r="I327" s="6">
        <v>4496.25</v>
      </c>
      <c r="J327" s="7">
        <v>45136</v>
      </c>
      <c r="K327" s="6" t="s">
        <v>43</v>
      </c>
      <c r="L327" s="6" t="s">
        <v>32</v>
      </c>
      <c r="M327" s="8">
        <v>1683.74</v>
      </c>
    </row>
    <row r="328" spans="1:13">
      <c r="A328" s="3">
        <v>3208</v>
      </c>
      <c r="B328" s="3" t="s">
        <v>377</v>
      </c>
      <c r="C328" s="3" t="s">
        <v>52</v>
      </c>
      <c r="D328" s="3" t="s">
        <v>69</v>
      </c>
      <c r="E328" s="3">
        <v>4</v>
      </c>
      <c r="F328" s="3">
        <v>4280.7</v>
      </c>
      <c r="G328" s="3">
        <v>0</v>
      </c>
      <c r="H328" s="17" t="s">
        <v>432</v>
      </c>
      <c r="I328" s="3">
        <v>17122.8</v>
      </c>
      <c r="J328" s="4">
        <v>45554</v>
      </c>
      <c r="K328" s="3" t="s">
        <v>40</v>
      </c>
      <c r="L328" s="3" t="s">
        <v>16</v>
      </c>
      <c r="M328" s="5">
        <v>68.36</v>
      </c>
    </row>
    <row r="329" spans="1:13">
      <c r="A329" s="6">
        <v>3224</v>
      </c>
      <c r="B329" s="6" t="s">
        <v>378</v>
      </c>
      <c r="C329" s="6" t="s">
        <v>22</v>
      </c>
      <c r="D329" s="6" t="s">
        <v>39</v>
      </c>
      <c r="E329" s="6">
        <v>6</v>
      </c>
      <c r="F329" s="6">
        <v>878.95</v>
      </c>
      <c r="G329" s="3">
        <v>0.01</v>
      </c>
      <c r="H329" s="17" t="s">
        <v>433</v>
      </c>
      <c r="I329" s="6">
        <v>5220.96</v>
      </c>
      <c r="J329" s="7">
        <v>45769</v>
      </c>
      <c r="K329" s="6" t="s">
        <v>15</v>
      </c>
      <c r="L329" s="6" t="s">
        <v>27</v>
      </c>
      <c r="M329" s="8">
        <v>2099.52</v>
      </c>
    </row>
    <row r="330" spans="1:13">
      <c r="A330" s="3">
        <v>3239</v>
      </c>
      <c r="B330" s="3" t="s">
        <v>379</v>
      </c>
      <c r="C330" s="3" t="s">
        <v>22</v>
      </c>
      <c r="D330" s="3" t="s">
        <v>26</v>
      </c>
      <c r="E330" s="3">
        <v>1</v>
      </c>
      <c r="F330" s="3">
        <v>4585.71</v>
      </c>
      <c r="G330" s="3">
        <v>0</v>
      </c>
      <c r="H330" s="17" t="s">
        <v>432</v>
      </c>
      <c r="I330" s="3">
        <v>4585.71</v>
      </c>
      <c r="J330" s="4">
        <v>45795</v>
      </c>
      <c r="K330" s="3" t="s">
        <v>24</v>
      </c>
      <c r="L330" s="3" t="s">
        <v>16</v>
      </c>
      <c r="M330" s="5">
        <v>1277.56</v>
      </c>
    </row>
    <row r="331" spans="1:13">
      <c r="A331" s="6">
        <v>3253</v>
      </c>
      <c r="B331" s="6" t="s">
        <v>380</v>
      </c>
      <c r="C331" s="6" t="s">
        <v>13</v>
      </c>
      <c r="D331" s="6" t="s">
        <v>74</v>
      </c>
      <c r="E331" s="6">
        <v>5</v>
      </c>
      <c r="F331" s="6">
        <v>4429.95</v>
      </c>
      <c r="G331" s="3">
        <v>0.35</v>
      </c>
      <c r="H331" s="17" t="s">
        <v>433</v>
      </c>
      <c r="I331" s="6">
        <v>14397.34</v>
      </c>
      <c r="J331" s="7">
        <v>45727</v>
      </c>
      <c r="K331" s="6" t="s">
        <v>31</v>
      </c>
      <c r="L331" s="6" t="s">
        <v>27</v>
      </c>
      <c r="M331" s="8">
        <v>-746.94</v>
      </c>
    </row>
    <row r="332" spans="1:13">
      <c r="A332" s="3">
        <v>3255</v>
      </c>
      <c r="B332" s="3" t="s">
        <v>381</v>
      </c>
      <c r="C332" s="3" t="s">
        <v>52</v>
      </c>
      <c r="D332" s="3" t="s">
        <v>69</v>
      </c>
      <c r="E332" s="3">
        <v>6</v>
      </c>
      <c r="F332" s="3">
        <v>3904.86</v>
      </c>
      <c r="G332" s="3">
        <v>0</v>
      </c>
      <c r="H332" s="17" t="s">
        <v>432</v>
      </c>
      <c r="I332" s="3">
        <v>23429.16</v>
      </c>
      <c r="J332" s="4">
        <v>45630</v>
      </c>
      <c r="K332" s="3" t="s">
        <v>15</v>
      </c>
      <c r="L332" s="3" t="s">
        <v>32</v>
      </c>
      <c r="M332" s="5">
        <v>1504.25</v>
      </c>
    </row>
    <row r="333" spans="1:13">
      <c r="A333" s="6">
        <v>1024</v>
      </c>
      <c r="B333" s="6" t="s">
        <v>382</v>
      </c>
      <c r="C333" s="6" t="s">
        <v>52</v>
      </c>
      <c r="D333" s="6" t="s">
        <v>69</v>
      </c>
      <c r="E333" s="6">
        <v>2</v>
      </c>
      <c r="F333" s="6">
        <v>940.64</v>
      </c>
      <c r="G333" s="3">
        <v>0.67</v>
      </c>
      <c r="H333" s="17" t="s">
        <v>433</v>
      </c>
      <c r="I333" s="6">
        <v>620.82000000000005</v>
      </c>
      <c r="J333" s="7">
        <v>45667</v>
      </c>
      <c r="K333" s="6" t="s">
        <v>15</v>
      </c>
      <c r="L333" s="6" t="s">
        <v>32</v>
      </c>
      <c r="M333" s="8">
        <v>1552.9</v>
      </c>
    </row>
    <row r="334" spans="1:13">
      <c r="A334" s="3">
        <v>3263</v>
      </c>
      <c r="B334" s="3" t="s">
        <v>383</v>
      </c>
      <c r="C334" s="3" t="s">
        <v>18</v>
      </c>
      <c r="D334" s="3" t="s">
        <v>57</v>
      </c>
      <c r="E334" s="3">
        <v>6</v>
      </c>
      <c r="F334" s="3">
        <v>3121.49</v>
      </c>
      <c r="G334" s="3">
        <v>0</v>
      </c>
      <c r="H334" s="17" t="s">
        <v>432</v>
      </c>
      <c r="I334" s="3">
        <v>18728.939999999999</v>
      </c>
      <c r="J334" s="4">
        <v>45678</v>
      </c>
      <c r="K334" s="3" t="s">
        <v>20</v>
      </c>
      <c r="L334" s="3" t="s">
        <v>16</v>
      </c>
      <c r="M334" s="5">
        <v>1156.27</v>
      </c>
    </row>
    <row r="335" spans="1:13">
      <c r="A335" s="6">
        <v>3265</v>
      </c>
      <c r="B335" s="6" t="s">
        <v>384</v>
      </c>
      <c r="C335" s="6" t="s">
        <v>13</v>
      </c>
      <c r="D335" s="6" t="s">
        <v>67</v>
      </c>
      <c r="E335" s="6">
        <v>1</v>
      </c>
      <c r="F335" s="6">
        <v>1882.93</v>
      </c>
      <c r="G335" s="3">
        <v>0</v>
      </c>
      <c r="H335" s="17" t="s">
        <v>432</v>
      </c>
      <c r="I335" s="6">
        <v>1882.93</v>
      </c>
      <c r="J335" s="7">
        <v>45835</v>
      </c>
      <c r="K335" s="6" t="s">
        <v>20</v>
      </c>
      <c r="L335" s="6" t="s">
        <v>16</v>
      </c>
      <c r="M335" s="8">
        <v>520.85</v>
      </c>
    </row>
    <row r="336" spans="1:13">
      <c r="A336" s="3">
        <v>3267</v>
      </c>
      <c r="B336" s="3" t="s">
        <v>385</v>
      </c>
      <c r="C336" s="3" t="s">
        <v>29</v>
      </c>
      <c r="D336" s="3" t="s">
        <v>30</v>
      </c>
      <c r="E336" s="3">
        <v>1</v>
      </c>
      <c r="F336" s="3">
        <v>3965.8</v>
      </c>
      <c r="G336" s="3">
        <v>0.48</v>
      </c>
      <c r="H336" s="17" t="s">
        <v>433</v>
      </c>
      <c r="I336" s="3">
        <v>2062.2199999999998</v>
      </c>
      <c r="J336" s="4">
        <v>45587</v>
      </c>
      <c r="K336" s="3" t="s">
        <v>20</v>
      </c>
      <c r="L336" s="3" t="s">
        <v>16</v>
      </c>
      <c r="M336" s="5">
        <v>1222.8499999999999</v>
      </c>
    </row>
    <row r="337" spans="1:13">
      <c r="A337" s="6">
        <v>3272</v>
      </c>
      <c r="B337" s="6" t="s">
        <v>386</v>
      </c>
      <c r="C337" s="6" t="s">
        <v>18</v>
      </c>
      <c r="D337" s="6" t="s">
        <v>46</v>
      </c>
      <c r="E337" s="6">
        <v>3</v>
      </c>
      <c r="F337" s="6">
        <v>4236.45</v>
      </c>
      <c r="G337" s="3">
        <v>0</v>
      </c>
      <c r="H337" s="17" t="s">
        <v>432</v>
      </c>
      <c r="I337" s="6">
        <v>12709.35</v>
      </c>
      <c r="J337" s="7">
        <v>45531</v>
      </c>
      <c r="K337" s="6" t="s">
        <v>15</v>
      </c>
      <c r="L337" s="6" t="s">
        <v>32</v>
      </c>
      <c r="M337" s="8">
        <v>-849.83</v>
      </c>
    </row>
    <row r="338" spans="1:13">
      <c r="A338" s="3">
        <v>3274</v>
      </c>
      <c r="B338" s="3" t="s">
        <v>387</v>
      </c>
      <c r="C338" s="3" t="s">
        <v>29</v>
      </c>
      <c r="D338" s="3" t="s">
        <v>83</v>
      </c>
      <c r="E338" s="3">
        <v>2</v>
      </c>
      <c r="F338" s="3">
        <v>4409.22</v>
      </c>
      <c r="G338" s="3">
        <v>0</v>
      </c>
      <c r="H338" s="17" t="s">
        <v>432</v>
      </c>
      <c r="I338" s="3">
        <v>8818.44</v>
      </c>
      <c r="J338" s="4">
        <v>45534</v>
      </c>
      <c r="K338" s="3" t="s">
        <v>43</v>
      </c>
      <c r="L338" s="3" t="s">
        <v>32</v>
      </c>
      <c r="M338" s="5">
        <v>2886.62</v>
      </c>
    </row>
    <row r="339" spans="1:13">
      <c r="A339" s="6">
        <v>3282</v>
      </c>
      <c r="B339" s="6" t="s">
        <v>388</v>
      </c>
      <c r="C339" s="6" t="s">
        <v>22</v>
      </c>
      <c r="D339" s="6" t="s">
        <v>64</v>
      </c>
      <c r="E339" s="6">
        <v>2</v>
      </c>
      <c r="F339" s="6">
        <v>4405.96</v>
      </c>
      <c r="G339" s="3">
        <v>0.28000000000000003</v>
      </c>
      <c r="H339" s="17" t="s">
        <v>433</v>
      </c>
      <c r="I339" s="6">
        <v>6344.58</v>
      </c>
      <c r="J339" s="7">
        <v>45528</v>
      </c>
      <c r="K339" s="6" t="s">
        <v>20</v>
      </c>
      <c r="L339" s="6" t="s">
        <v>16</v>
      </c>
      <c r="M339" s="8">
        <v>503.27</v>
      </c>
    </row>
    <row r="340" spans="1:13">
      <c r="A340" s="3">
        <v>3294</v>
      </c>
      <c r="B340" s="3" t="s">
        <v>389</v>
      </c>
      <c r="C340" s="3" t="s">
        <v>34</v>
      </c>
      <c r="D340" s="3" t="s">
        <v>110</v>
      </c>
      <c r="E340" s="3">
        <v>4</v>
      </c>
      <c r="F340" s="3">
        <v>1316.9</v>
      </c>
      <c r="G340" s="3">
        <v>0.11</v>
      </c>
      <c r="H340" s="17" t="s">
        <v>433</v>
      </c>
      <c r="I340" s="3">
        <v>4688.16</v>
      </c>
      <c r="J340" s="4">
        <v>45550</v>
      </c>
      <c r="K340" s="3" t="s">
        <v>43</v>
      </c>
      <c r="L340" s="3" t="s">
        <v>32</v>
      </c>
      <c r="M340" s="5">
        <v>2743.65</v>
      </c>
    </row>
    <row r="341" spans="1:13">
      <c r="A341" s="6">
        <v>3298</v>
      </c>
      <c r="B341" s="6" t="s">
        <v>390</v>
      </c>
      <c r="C341" s="6" t="s">
        <v>52</v>
      </c>
      <c r="D341" s="6" t="s">
        <v>62</v>
      </c>
      <c r="E341" s="6">
        <v>1</v>
      </c>
      <c r="F341" s="6">
        <v>2124.13</v>
      </c>
      <c r="G341" s="3">
        <v>0.85</v>
      </c>
      <c r="H341" s="17" t="s">
        <v>433</v>
      </c>
      <c r="I341" s="6">
        <v>318.62</v>
      </c>
      <c r="J341" s="7">
        <v>45507</v>
      </c>
      <c r="K341" s="6" t="s">
        <v>31</v>
      </c>
      <c r="L341" s="6" t="s">
        <v>27</v>
      </c>
      <c r="M341" s="8">
        <v>1126.81</v>
      </c>
    </row>
    <row r="342" spans="1:13">
      <c r="A342" s="3">
        <v>3299</v>
      </c>
      <c r="B342" s="3" t="s">
        <v>391</v>
      </c>
      <c r="C342" s="3" t="s">
        <v>13</v>
      </c>
      <c r="D342" s="3" t="s">
        <v>67</v>
      </c>
      <c r="E342" s="3">
        <v>1</v>
      </c>
      <c r="F342" s="3">
        <v>4090.34</v>
      </c>
      <c r="G342" s="3">
        <v>0.99</v>
      </c>
      <c r="H342" s="17" t="s">
        <v>433</v>
      </c>
      <c r="I342" s="3">
        <v>40.9</v>
      </c>
      <c r="J342" s="4">
        <v>45809</v>
      </c>
      <c r="K342" s="3" t="s">
        <v>15</v>
      </c>
      <c r="L342" s="3" t="s">
        <v>16</v>
      </c>
      <c r="M342" s="5">
        <v>1676.64</v>
      </c>
    </row>
    <row r="343" spans="1:13">
      <c r="A343" s="6">
        <v>3301</v>
      </c>
      <c r="B343" s="6" t="s">
        <v>392</v>
      </c>
      <c r="C343" s="6" t="s">
        <v>34</v>
      </c>
      <c r="D343" s="6" t="s">
        <v>35</v>
      </c>
      <c r="E343" s="6">
        <v>5</v>
      </c>
      <c r="F343" s="6">
        <v>2590.44</v>
      </c>
      <c r="G343" s="3">
        <v>0</v>
      </c>
      <c r="H343" s="17" t="s">
        <v>432</v>
      </c>
      <c r="I343" s="6">
        <v>12952.2</v>
      </c>
      <c r="J343" s="7">
        <v>45514</v>
      </c>
      <c r="K343" s="6" t="s">
        <v>31</v>
      </c>
      <c r="L343" s="6" t="s">
        <v>27</v>
      </c>
      <c r="M343" s="8">
        <v>-613.96</v>
      </c>
    </row>
    <row r="344" spans="1:13">
      <c r="A344" s="3">
        <v>3309</v>
      </c>
      <c r="B344" s="3" t="s">
        <v>393</v>
      </c>
      <c r="C344" s="3" t="s">
        <v>29</v>
      </c>
      <c r="D344" s="3" t="s">
        <v>83</v>
      </c>
      <c r="E344" s="3">
        <v>2</v>
      </c>
      <c r="F344" s="3">
        <v>3944.46</v>
      </c>
      <c r="G344" s="3">
        <v>0</v>
      </c>
      <c r="H344" s="17" t="s">
        <v>432</v>
      </c>
      <c r="I344" s="3">
        <v>7888.92</v>
      </c>
      <c r="J344" s="4">
        <v>45201</v>
      </c>
      <c r="K344" s="3" t="s">
        <v>24</v>
      </c>
      <c r="L344" s="3" t="s">
        <v>32</v>
      </c>
      <c r="M344" s="5">
        <v>1392.37</v>
      </c>
    </row>
    <row r="345" spans="1:13">
      <c r="A345" s="6">
        <v>3311</v>
      </c>
      <c r="B345" s="6" t="s">
        <v>394</v>
      </c>
      <c r="C345" s="6" t="s">
        <v>29</v>
      </c>
      <c r="D345" s="6" t="s">
        <v>30</v>
      </c>
      <c r="E345" s="6">
        <v>1</v>
      </c>
      <c r="F345" s="6">
        <v>3108.69</v>
      </c>
      <c r="G345" s="3">
        <v>0</v>
      </c>
      <c r="H345" s="17" t="s">
        <v>432</v>
      </c>
      <c r="I345" s="6">
        <v>3108.69</v>
      </c>
      <c r="J345" s="7">
        <v>45388</v>
      </c>
      <c r="K345" s="6" t="s">
        <v>43</v>
      </c>
      <c r="L345" s="6" t="s">
        <v>27</v>
      </c>
      <c r="M345" s="8">
        <v>2986.53</v>
      </c>
    </row>
    <row r="346" spans="1:13">
      <c r="A346" s="3">
        <v>3312</v>
      </c>
      <c r="B346" s="3" t="s">
        <v>395</v>
      </c>
      <c r="C346" s="3" t="s">
        <v>34</v>
      </c>
      <c r="D346" s="3" t="s">
        <v>85</v>
      </c>
      <c r="E346" s="3">
        <v>2</v>
      </c>
      <c r="F346" s="3">
        <v>4878.8100000000004</v>
      </c>
      <c r="G346" s="3">
        <v>0</v>
      </c>
      <c r="H346" s="17" t="s">
        <v>432</v>
      </c>
      <c r="I346" s="3">
        <v>9757.6200000000008</v>
      </c>
      <c r="J346" s="4">
        <v>45537</v>
      </c>
      <c r="K346" s="3" t="s">
        <v>20</v>
      </c>
      <c r="L346" s="3" t="s">
        <v>27</v>
      </c>
      <c r="M346" s="5">
        <v>327.38</v>
      </c>
    </row>
    <row r="347" spans="1:13">
      <c r="A347" s="6">
        <v>3321</v>
      </c>
      <c r="B347" s="6" t="s">
        <v>396</v>
      </c>
      <c r="C347" s="6" t="s">
        <v>13</v>
      </c>
      <c r="D347" s="6" t="s">
        <v>74</v>
      </c>
      <c r="E347" s="6">
        <v>5</v>
      </c>
      <c r="F347" s="6">
        <v>1804.56</v>
      </c>
      <c r="G347" s="3">
        <v>0</v>
      </c>
      <c r="H347" s="17" t="s">
        <v>432</v>
      </c>
      <c r="I347" s="6">
        <v>9022.7999999999993</v>
      </c>
      <c r="J347" s="7">
        <v>45254</v>
      </c>
      <c r="K347" s="6" t="s">
        <v>31</v>
      </c>
      <c r="L347" s="6" t="s">
        <v>27</v>
      </c>
      <c r="M347" s="8">
        <v>2534.37</v>
      </c>
    </row>
    <row r="348" spans="1:13">
      <c r="A348" s="3">
        <v>3326</v>
      </c>
      <c r="B348" s="3" t="s">
        <v>397</v>
      </c>
      <c r="C348" s="3" t="s">
        <v>18</v>
      </c>
      <c r="D348" s="3" t="s">
        <v>46</v>
      </c>
      <c r="E348" s="3">
        <v>2</v>
      </c>
      <c r="F348" s="3">
        <v>3047.68</v>
      </c>
      <c r="G348" s="3">
        <v>0</v>
      </c>
      <c r="H348" s="17" t="s">
        <v>432</v>
      </c>
      <c r="I348" s="3">
        <v>6095.36</v>
      </c>
      <c r="J348" s="4">
        <v>45526</v>
      </c>
      <c r="K348" s="3" t="s">
        <v>20</v>
      </c>
      <c r="L348" s="3" t="s">
        <v>32</v>
      </c>
      <c r="M348" s="5">
        <v>827.95</v>
      </c>
    </row>
    <row r="349" spans="1:13">
      <c r="A349" s="6">
        <v>3328</v>
      </c>
      <c r="B349" s="6" t="s">
        <v>398</v>
      </c>
      <c r="C349" s="6" t="s">
        <v>22</v>
      </c>
      <c r="D349" s="6" t="s">
        <v>23</v>
      </c>
      <c r="E349" s="6">
        <v>1</v>
      </c>
      <c r="F349" s="6">
        <v>4390.32</v>
      </c>
      <c r="G349" s="3">
        <v>0</v>
      </c>
      <c r="H349" s="17" t="s">
        <v>432</v>
      </c>
      <c r="I349" s="6">
        <v>4390.32</v>
      </c>
      <c r="J349" s="7">
        <v>45733</v>
      </c>
      <c r="K349" s="6" t="s">
        <v>20</v>
      </c>
      <c r="L349" s="6" t="s">
        <v>27</v>
      </c>
      <c r="M349" s="8">
        <v>2785.75</v>
      </c>
    </row>
    <row r="350" spans="1:13">
      <c r="A350" s="3">
        <v>3330</v>
      </c>
      <c r="B350" s="3" t="s">
        <v>399</v>
      </c>
      <c r="C350" s="3" t="s">
        <v>18</v>
      </c>
      <c r="D350" s="3" t="s">
        <v>19</v>
      </c>
      <c r="E350" s="3">
        <v>6</v>
      </c>
      <c r="F350" s="3">
        <v>2217.9499999999998</v>
      </c>
      <c r="G350" s="3">
        <v>0</v>
      </c>
      <c r="H350" s="17" t="s">
        <v>432</v>
      </c>
      <c r="I350" s="3">
        <v>13307.7</v>
      </c>
      <c r="J350" s="4">
        <v>45826</v>
      </c>
      <c r="K350" s="3" t="s">
        <v>31</v>
      </c>
      <c r="L350" s="3" t="s">
        <v>27</v>
      </c>
      <c r="M350" s="5">
        <v>146.52000000000001</v>
      </c>
    </row>
    <row r="351" spans="1:13">
      <c r="A351" s="6">
        <v>1018</v>
      </c>
      <c r="B351" s="6" t="s">
        <v>400</v>
      </c>
      <c r="C351" s="6" t="s">
        <v>29</v>
      </c>
      <c r="D351" s="6" t="s">
        <v>30</v>
      </c>
      <c r="E351" s="6">
        <v>1</v>
      </c>
      <c r="F351" s="6">
        <v>2847.86</v>
      </c>
      <c r="G351" s="3">
        <v>0.7</v>
      </c>
      <c r="H351" s="17" t="s">
        <v>433</v>
      </c>
      <c r="I351" s="6">
        <v>854.36</v>
      </c>
      <c r="J351" s="7">
        <v>45360</v>
      </c>
      <c r="K351" s="6" t="s">
        <v>43</v>
      </c>
      <c r="L351" s="6" t="s">
        <v>32</v>
      </c>
      <c r="M351" s="8">
        <v>2190.67</v>
      </c>
    </row>
    <row r="352" spans="1:13">
      <c r="A352" s="3">
        <v>3340</v>
      </c>
      <c r="B352" s="3" t="s">
        <v>401</v>
      </c>
      <c r="C352" s="3" t="s">
        <v>18</v>
      </c>
      <c r="D352" s="3" t="s">
        <v>57</v>
      </c>
      <c r="E352" s="3">
        <v>6</v>
      </c>
      <c r="F352" s="3">
        <v>3924.28</v>
      </c>
      <c r="G352" s="3">
        <v>0.15</v>
      </c>
      <c r="H352" s="17" t="s">
        <v>433</v>
      </c>
      <c r="I352" s="3">
        <v>20013.830000000002</v>
      </c>
      <c r="J352" s="4">
        <v>45532</v>
      </c>
      <c r="K352" s="3" t="s">
        <v>20</v>
      </c>
      <c r="L352" s="3" t="s">
        <v>27</v>
      </c>
      <c r="M352" s="5">
        <v>-831.93</v>
      </c>
    </row>
    <row r="353" spans="1:13">
      <c r="A353" s="6">
        <v>3346</v>
      </c>
      <c r="B353" s="6" t="s">
        <v>402</v>
      </c>
      <c r="C353" s="6" t="s">
        <v>18</v>
      </c>
      <c r="D353" s="6" t="s">
        <v>57</v>
      </c>
      <c r="E353" s="6">
        <v>2</v>
      </c>
      <c r="F353" s="6">
        <v>1266.23</v>
      </c>
      <c r="G353" s="3">
        <v>0.81</v>
      </c>
      <c r="H353" s="17" t="s">
        <v>433</v>
      </c>
      <c r="I353" s="6">
        <v>481.17</v>
      </c>
      <c r="J353" s="7">
        <v>45651</v>
      </c>
      <c r="K353" s="6" t="s">
        <v>24</v>
      </c>
      <c r="L353" s="6" t="s">
        <v>16</v>
      </c>
      <c r="M353" s="8">
        <v>416.5</v>
      </c>
    </row>
    <row r="354" spans="1:13">
      <c r="A354" s="3">
        <v>3356</v>
      </c>
      <c r="B354" s="3" t="s">
        <v>403</v>
      </c>
      <c r="C354" s="3" t="s">
        <v>18</v>
      </c>
      <c r="D354" s="3" t="s">
        <v>42</v>
      </c>
      <c r="E354" s="3">
        <v>1</v>
      </c>
      <c r="F354" s="3">
        <v>966.41</v>
      </c>
      <c r="G354" s="3">
        <v>0</v>
      </c>
      <c r="H354" s="17" t="s">
        <v>432</v>
      </c>
      <c r="I354" s="3">
        <v>966.41</v>
      </c>
      <c r="J354" s="4">
        <v>45499</v>
      </c>
      <c r="K354" s="3" t="s">
        <v>20</v>
      </c>
      <c r="L354" s="3" t="s">
        <v>32</v>
      </c>
      <c r="M354" s="5">
        <v>924.69</v>
      </c>
    </row>
    <row r="355" spans="1:13">
      <c r="A355" s="6">
        <v>3366</v>
      </c>
      <c r="B355" s="6" t="s">
        <v>404</v>
      </c>
      <c r="C355" s="6" t="s">
        <v>13</v>
      </c>
      <c r="D355" s="6" t="s">
        <v>67</v>
      </c>
      <c r="E355" s="6">
        <v>5</v>
      </c>
      <c r="F355" s="6">
        <v>636.53</v>
      </c>
      <c r="G355" s="3">
        <v>0</v>
      </c>
      <c r="H355" s="17" t="s">
        <v>432</v>
      </c>
      <c r="I355" s="6">
        <v>3182.65</v>
      </c>
      <c r="J355" s="7">
        <v>45748</v>
      </c>
      <c r="K355" s="6" t="s">
        <v>15</v>
      </c>
      <c r="L355" s="6" t="s">
        <v>16</v>
      </c>
      <c r="M355" s="8">
        <v>-513.44000000000005</v>
      </c>
    </row>
    <row r="356" spans="1:13">
      <c r="A356" s="3">
        <v>3380</v>
      </c>
      <c r="B356" s="3" t="s">
        <v>405</v>
      </c>
      <c r="C356" s="3" t="s">
        <v>29</v>
      </c>
      <c r="D356" s="3" t="s">
        <v>48</v>
      </c>
      <c r="E356" s="3">
        <v>2</v>
      </c>
      <c r="F356" s="3">
        <v>4166.34</v>
      </c>
      <c r="G356" s="3">
        <v>0</v>
      </c>
      <c r="H356" s="17" t="s">
        <v>432</v>
      </c>
      <c r="I356" s="3">
        <v>8332.68</v>
      </c>
      <c r="J356" s="4">
        <v>45579</v>
      </c>
      <c r="K356" s="3" t="s">
        <v>31</v>
      </c>
      <c r="L356" s="3" t="s">
        <v>16</v>
      </c>
      <c r="M356" s="5">
        <v>317.31</v>
      </c>
    </row>
    <row r="357" spans="1:13">
      <c r="A357" s="6">
        <v>3384</v>
      </c>
      <c r="B357" s="6" t="s">
        <v>406</v>
      </c>
      <c r="C357" s="6" t="s">
        <v>29</v>
      </c>
      <c r="D357" s="6" t="s">
        <v>78</v>
      </c>
      <c r="E357" s="6">
        <v>1</v>
      </c>
      <c r="F357" s="6">
        <v>2282.7600000000002</v>
      </c>
      <c r="G357" s="3">
        <v>0.57999999999999996</v>
      </c>
      <c r="H357" s="17" t="s">
        <v>433</v>
      </c>
      <c r="I357" s="6">
        <v>958.76</v>
      </c>
      <c r="J357" s="7">
        <v>45600</v>
      </c>
      <c r="K357" s="6" t="s">
        <v>20</v>
      </c>
      <c r="L357" s="6" t="s">
        <v>27</v>
      </c>
      <c r="M357" s="8">
        <v>1133.68</v>
      </c>
    </row>
    <row r="358" spans="1:13">
      <c r="A358" s="3">
        <v>3396</v>
      </c>
      <c r="B358" s="3" t="s">
        <v>407</v>
      </c>
      <c r="C358" s="3" t="s">
        <v>13</v>
      </c>
      <c r="D358" s="3" t="s">
        <v>67</v>
      </c>
      <c r="E358" s="3">
        <v>2</v>
      </c>
      <c r="F358" s="3">
        <v>3760.09</v>
      </c>
      <c r="G358" s="3">
        <v>0</v>
      </c>
      <c r="H358" s="17" t="s">
        <v>432</v>
      </c>
      <c r="I358" s="3">
        <v>7520.18</v>
      </c>
      <c r="J358" s="4">
        <v>45638</v>
      </c>
      <c r="K358" s="3" t="s">
        <v>31</v>
      </c>
      <c r="L358" s="3" t="s">
        <v>27</v>
      </c>
      <c r="M358" s="5">
        <v>-871.94</v>
      </c>
    </row>
    <row r="359" spans="1:13">
      <c r="A359" s="6">
        <v>3399</v>
      </c>
      <c r="B359" s="6" t="s">
        <v>408</v>
      </c>
      <c r="C359" s="6" t="s">
        <v>22</v>
      </c>
      <c r="D359" s="6" t="s">
        <v>64</v>
      </c>
      <c r="E359" s="6">
        <v>5</v>
      </c>
      <c r="F359" s="6">
        <v>3111.73</v>
      </c>
      <c r="G359" s="3">
        <v>0</v>
      </c>
      <c r="H359" s="17" t="s">
        <v>432</v>
      </c>
      <c r="I359" s="6">
        <v>15558.65</v>
      </c>
      <c r="J359" s="7">
        <v>45484</v>
      </c>
      <c r="K359" s="6" t="s">
        <v>20</v>
      </c>
      <c r="L359" s="6" t="s">
        <v>32</v>
      </c>
      <c r="M359" s="8">
        <v>800.89</v>
      </c>
    </row>
    <row r="360" spans="1:13">
      <c r="A360" s="3">
        <v>3424</v>
      </c>
      <c r="B360" s="3" t="s">
        <v>409</v>
      </c>
      <c r="C360" s="3" t="s">
        <v>52</v>
      </c>
      <c r="D360" s="3" t="s">
        <v>69</v>
      </c>
      <c r="E360" s="3">
        <v>5</v>
      </c>
      <c r="F360" s="3">
        <v>4754.22</v>
      </c>
      <c r="G360" s="3">
        <v>0.82</v>
      </c>
      <c r="H360" s="17" t="s">
        <v>433</v>
      </c>
      <c r="I360" s="3">
        <v>4278.8</v>
      </c>
      <c r="J360" s="4">
        <v>45794</v>
      </c>
      <c r="K360" s="3" t="s">
        <v>31</v>
      </c>
      <c r="L360" s="3" t="s">
        <v>16</v>
      </c>
      <c r="M360" s="5">
        <v>2415.19</v>
      </c>
    </row>
    <row r="361" spans="1:13">
      <c r="A361" s="6">
        <v>3425</v>
      </c>
      <c r="B361" s="6" t="s">
        <v>410</v>
      </c>
      <c r="C361" s="6" t="s">
        <v>13</v>
      </c>
      <c r="D361" s="6" t="s">
        <v>94</v>
      </c>
      <c r="E361" s="6">
        <v>2</v>
      </c>
      <c r="F361" s="6">
        <v>2942.33</v>
      </c>
      <c r="G361" s="3">
        <v>0.16</v>
      </c>
      <c r="H361" s="17" t="s">
        <v>433</v>
      </c>
      <c r="I361" s="6">
        <v>4943.1099999999997</v>
      </c>
      <c r="J361" s="7">
        <v>45341</v>
      </c>
      <c r="K361" s="6" t="s">
        <v>40</v>
      </c>
      <c r="L361" s="6" t="s">
        <v>27</v>
      </c>
      <c r="M361" s="8">
        <v>977.57</v>
      </c>
    </row>
    <row r="362" spans="1:13">
      <c r="A362" s="3">
        <v>3434</v>
      </c>
      <c r="B362" s="3" t="s">
        <v>411</v>
      </c>
      <c r="C362" s="3" t="s">
        <v>18</v>
      </c>
      <c r="D362" s="3" t="s">
        <v>19</v>
      </c>
      <c r="E362" s="3">
        <v>1</v>
      </c>
      <c r="F362" s="3">
        <v>636.91999999999996</v>
      </c>
      <c r="G362" s="3">
        <v>0.51</v>
      </c>
      <c r="H362" s="17" t="s">
        <v>433</v>
      </c>
      <c r="I362" s="3">
        <v>312.08999999999997</v>
      </c>
      <c r="J362" s="4">
        <v>45724</v>
      </c>
      <c r="K362" s="3" t="s">
        <v>40</v>
      </c>
      <c r="L362" s="3" t="s">
        <v>16</v>
      </c>
      <c r="M362" s="5">
        <v>2399.61</v>
      </c>
    </row>
    <row r="363" spans="1:13">
      <c r="A363" s="6">
        <v>3439</v>
      </c>
      <c r="B363" s="6" t="s">
        <v>412</v>
      </c>
      <c r="C363" s="6" t="s">
        <v>18</v>
      </c>
      <c r="D363" s="6" t="s">
        <v>42</v>
      </c>
      <c r="E363" s="6">
        <v>2</v>
      </c>
      <c r="F363" s="6">
        <v>400.21</v>
      </c>
      <c r="G363" s="3">
        <v>0</v>
      </c>
      <c r="H363" s="17" t="s">
        <v>432</v>
      </c>
      <c r="I363" s="6">
        <v>800.42</v>
      </c>
      <c r="J363" s="7">
        <v>45831</v>
      </c>
      <c r="K363" s="6" t="s">
        <v>20</v>
      </c>
      <c r="L363" s="6" t="s">
        <v>32</v>
      </c>
      <c r="M363" s="8">
        <v>914.27</v>
      </c>
    </row>
    <row r="364" spans="1:13">
      <c r="A364" s="3">
        <v>3445</v>
      </c>
      <c r="B364" s="3" t="s">
        <v>413</v>
      </c>
      <c r="C364" s="3" t="s">
        <v>52</v>
      </c>
      <c r="D364" s="3" t="s">
        <v>53</v>
      </c>
      <c r="E364" s="3">
        <v>4</v>
      </c>
      <c r="F364" s="3">
        <v>973.52</v>
      </c>
      <c r="G364" s="3">
        <v>0</v>
      </c>
      <c r="H364" s="17" t="s">
        <v>432</v>
      </c>
      <c r="I364" s="3">
        <v>3894.08</v>
      </c>
      <c r="J364" s="4">
        <v>45514</v>
      </c>
      <c r="K364" s="3" t="s">
        <v>31</v>
      </c>
      <c r="L364" s="3" t="s">
        <v>27</v>
      </c>
      <c r="M364" s="5">
        <v>2406.66</v>
      </c>
    </row>
    <row r="365" spans="1:13">
      <c r="A365" s="6">
        <v>3446</v>
      </c>
      <c r="B365" s="6" t="s">
        <v>414</v>
      </c>
      <c r="C365" s="6" t="s">
        <v>34</v>
      </c>
      <c r="D365" s="6" t="s">
        <v>37</v>
      </c>
      <c r="E365" s="6">
        <v>3</v>
      </c>
      <c r="F365" s="6">
        <v>4758.24</v>
      </c>
      <c r="G365" s="3">
        <v>0.49</v>
      </c>
      <c r="H365" s="17" t="s">
        <v>433</v>
      </c>
      <c r="I365" s="6">
        <v>7280.11</v>
      </c>
      <c r="J365" s="7">
        <v>45733</v>
      </c>
      <c r="K365" s="6" t="s">
        <v>15</v>
      </c>
      <c r="L365" s="6" t="s">
        <v>27</v>
      </c>
      <c r="M365" s="8">
        <v>2863.66</v>
      </c>
    </row>
    <row r="366" spans="1:13">
      <c r="A366" s="3">
        <v>3447</v>
      </c>
      <c r="B366" s="3" t="s">
        <v>415</v>
      </c>
      <c r="C366" s="3" t="s">
        <v>13</v>
      </c>
      <c r="D366" s="3" t="s">
        <v>14</v>
      </c>
      <c r="E366" s="3">
        <v>4</v>
      </c>
      <c r="F366" s="3">
        <v>4762.62</v>
      </c>
      <c r="G366" s="3">
        <v>0</v>
      </c>
      <c r="H366" s="17" t="s">
        <v>432</v>
      </c>
      <c r="I366" s="3">
        <v>19050.48</v>
      </c>
      <c r="J366" s="4">
        <v>45840</v>
      </c>
      <c r="K366" s="3" t="s">
        <v>31</v>
      </c>
      <c r="L366" s="3" t="s">
        <v>16</v>
      </c>
      <c r="M366" s="5">
        <v>1483.83</v>
      </c>
    </row>
    <row r="367" spans="1:13">
      <c r="A367" s="6">
        <v>3449</v>
      </c>
      <c r="B367" s="6" t="s">
        <v>416</v>
      </c>
      <c r="C367" s="6" t="s">
        <v>29</v>
      </c>
      <c r="D367" s="6" t="s">
        <v>83</v>
      </c>
      <c r="E367" s="6">
        <v>4</v>
      </c>
      <c r="F367" s="6">
        <v>803.79</v>
      </c>
      <c r="G367" s="3">
        <v>0</v>
      </c>
      <c r="H367" s="17" t="s">
        <v>432</v>
      </c>
      <c r="I367" s="6">
        <v>3215.16</v>
      </c>
      <c r="J367" s="7">
        <v>45854</v>
      </c>
      <c r="K367" s="6" t="s">
        <v>40</v>
      </c>
      <c r="L367" s="6" t="s">
        <v>32</v>
      </c>
      <c r="M367" s="8">
        <v>2948.6</v>
      </c>
    </row>
    <row r="368" spans="1:13">
      <c r="A368" s="3">
        <v>3451</v>
      </c>
      <c r="B368" s="3" t="s">
        <v>417</v>
      </c>
      <c r="C368" s="3" t="s">
        <v>34</v>
      </c>
      <c r="D368" s="3" t="s">
        <v>35</v>
      </c>
      <c r="E368" s="3">
        <v>2</v>
      </c>
      <c r="F368" s="3">
        <v>2339.36</v>
      </c>
      <c r="G368" s="3">
        <v>0.35</v>
      </c>
      <c r="H368" s="17" t="s">
        <v>433</v>
      </c>
      <c r="I368" s="3">
        <v>3041.17</v>
      </c>
      <c r="J368" s="4">
        <v>45827</v>
      </c>
      <c r="K368" s="3" t="s">
        <v>20</v>
      </c>
      <c r="L368" s="3" t="s">
        <v>16</v>
      </c>
      <c r="M368" s="5">
        <v>-5.05</v>
      </c>
    </row>
    <row r="369" spans="1:13">
      <c r="A369" s="6">
        <v>3454</v>
      </c>
      <c r="B369" s="6" t="s">
        <v>418</v>
      </c>
      <c r="C369" s="6" t="s">
        <v>52</v>
      </c>
      <c r="D369" s="6" t="s">
        <v>69</v>
      </c>
      <c r="E369" s="6">
        <v>6</v>
      </c>
      <c r="F369" s="6">
        <v>1987.62</v>
      </c>
      <c r="G369" s="3">
        <v>0</v>
      </c>
      <c r="H369" s="17" t="s">
        <v>432</v>
      </c>
      <c r="I369" s="6">
        <v>11925.72</v>
      </c>
      <c r="J369" s="7">
        <v>45535</v>
      </c>
      <c r="K369" s="6" t="s">
        <v>31</v>
      </c>
      <c r="L369" s="6" t="s">
        <v>16</v>
      </c>
      <c r="M369" s="8">
        <v>1184.77</v>
      </c>
    </row>
    <row r="370" spans="1:13">
      <c r="A370" s="3">
        <v>3487</v>
      </c>
      <c r="B370" s="3" t="s">
        <v>419</v>
      </c>
      <c r="C370" s="3" t="s">
        <v>34</v>
      </c>
      <c r="D370" s="3" t="s">
        <v>37</v>
      </c>
      <c r="E370" s="3">
        <v>5</v>
      </c>
      <c r="F370" s="3">
        <v>1683.74</v>
      </c>
      <c r="G370" s="3">
        <v>0.57999999999999996</v>
      </c>
      <c r="H370" s="17" t="s">
        <v>433</v>
      </c>
      <c r="I370" s="3">
        <v>3535.85</v>
      </c>
      <c r="J370" s="4">
        <v>45670</v>
      </c>
      <c r="K370" s="3" t="s">
        <v>20</v>
      </c>
      <c r="L370" s="3" t="s">
        <v>32</v>
      </c>
      <c r="M370" s="5">
        <v>419.44</v>
      </c>
    </row>
    <row r="371" spans="1:13">
      <c r="A371" s="6">
        <v>3493</v>
      </c>
      <c r="B371" s="6" t="s">
        <v>420</v>
      </c>
      <c r="C371" s="6" t="s">
        <v>29</v>
      </c>
      <c r="D371" s="6" t="s">
        <v>83</v>
      </c>
      <c r="E371" s="6">
        <v>5</v>
      </c>
      <c r="F371" s="6">
        <v>2935.56</v>
      </c>
      <c r="G371" s="3">
        <v>0</v>
      </c>
      <c r="H371" s="17" t="s">
        <v>432</v>
      </c>
      <c r="I371" s="6">
        <v>14677.8</v>
      </c>
      <c r="J371" s="7">
        <v>45678</v>
      </c>
      <c r="K371" s="6" t="s">
        <v>43</v>
      </c>
      <c r="L371" s="6" t="s">
        <v>27</v>
      </c>
      <c r="M371" s="8">
        <v>-410.86</v>
      </c>
    </row>
    <row r="372" spans="1:13">
      <c r="A372" s="9">
        <v>3498</v>
      </c>
      <c r="B372" s="9" t="s">
        <v>421</v>
      </c>
      <c r="C372" s="9" t="s">
        <v>22</v>
      </c>
      <c r="D372" s="9" t="s">
        <v>26</v>
      </c>
      <c r="E372" s="9">
        <v>5</v>
      </c>
      <c r="F372" s="9">
        <v>3844.19</v>
      </c>
      <c r="G372" s="3">
        <v>0</v>
      </c>
      <c r="H372" s="18" t="s">
        <v>432</v>
      </c>
      <c r="I372" s="9">
        <v>19220.95</v>
      </c>
      <c r="J372" s="10">
        <v>45497</v>
      </c>
      <c r="K372" s="9" t="s">
        <v>31</v>
      </c>
      <c r="L372" s="9" t="s">
        <v>27</v>
      </c>
      <c r="M372" s="11">
        <v>2967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2:B15"/>
  <sheetViews>
    <sheetView workbookViewId="0">
      <selection activeCell="B17" sqref="B17"/>
    </sheetView>
  </sheetViews>
  <sheetFormatPr defaultRowHeight="14.4"/>
  <cols>
    <col min="2" max="2" width="19.5546875" style="13" bestFit="1" customWidth="1"/>
  </cols>
  <sheetData>
    <row r="2" spans="2:2">
      <c r="B2" s="13" t="s">
        <v>424</v>
      </c>
    </row>
    <row r="3" spans="2:2">
      <c r="B3" s="13">
        <f>SUM(Snitch_Fashion_Sales_Cleaned!$E$2:$E$372)</f>
        <v>1105</v>
      </c>
    </row>
    <row r="5" spans="2:2">
      <c r="B5" s="13" t="s">
        <v>425</v>
      </c>
    </row>
    <row r="6" spans="2:2">
      <c r="B6" s="21">
        <f>ROUND(SUM(Snitch_Fashion_Sales_Cleaned!$I$2:$I$372),0)</f>
        <v>2575529</v>
      </c>
    </row>
    <row r="8" spans="2:2">
      <c r="B8" s="13" t="s">
        <v>426</v>
      </c>
    </row>
    <row r="9" spans="2:2">
      <c r="B9" s="21">
        <f>ROUND(SUM(Snitch_Fashion_Sales_Cleaned!$M$2:$M$372),0)</f>
        <v>367946</v>
      </c>
    </row>
    <row r="11" spans="2:2">
      <c r="B11" s="13" t="s">
        <v>427</v>
      </c>
    </row>
    <row r="12" spans="2:2">
      <c r="B12" s="14">
        <f>IFERROR(SUM(Snitch_Fashion_Sales_Cleaned!$M$2:$M$372)/SUM(Snitch_Fashion_Sales_Cleaned!$I$2:$I$372),0)</f>
        <v>0.14286215486443357</v>
      </c>
    </row>
    <row r="14" spans="2:2">
      <c r="B14" s="13" t="s">
        <v>428</v>
      </c>
    </row>
    <row r="15" spans="2:2">
      <c r="B15" s="13">
        <f>COUNTA(Snitch_Fashion_Sales_Cleaned!$A$2:$A$372)</f>
        <v>371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I40"/>
  <sheetViews>
    <sheetView workbookViewId="0">
      <selection activeCell="J21" sqref="J21"/>
    </sheetView>
  </sheetViews>
  <sheetFormatPr defaultRowHeight="14.4"/>
  <cols>
    <col min="2" max="2" width="28.21875" customWidth="1"/>
    <col min="3" max="4" width="20.88671875" customWidth="1"/>
    <col min="5" max="5" width="12.5546875" customWidth="1"/>
    <col min="6" max="6" width="19.77734375" bestFit="1" customWidth="1"/>
    <col min="8" max="8" width="10.77734375" customWidth="1"/>
    <col min="9" max="9" width="19.77734375" customWidth="1"/>
    <col min="10" max="10" width="19.77734375" bestFit="1" customWidth="1"/>
    <col min="11" max="11" width="12.5546875" bestFit="1" customWidth="1"/>
    <col min="12" max="12" width="19.77734375" bestFit="1" customWidth="1"/>
  </cols>
  <sheetData>
    <row r="2" spans="2:9">
      <c r="B2" s="12" t="s">
        <v>450</v>
      </c>
      <c r="C2" t="s">
        <v>422</v>
      </c>
      <c r="E2" s="12" t="s">
        <v>429</v>
      </c>
      <c r="F2" t="s">
        <v>422</v>
      </c>
      <c r="H2" s="12" t="s">
        <v>429</v>
      </c>
      <c r="I2" t="s">
        <v>423</v>
      </c>
    </row>
    <row r="3" spans="2:9">
      <c r="B3" s="16" t="s">
        <v>52</v>
      </c>
      <c r="C3" s="15">
        <v>511132.04</v>
      </c>
      <c r="E3" s="16" t="s">
        <v>53</v>
      </c>
      <c r="F3" s="15">
        <v>111385.39000000001</v>
      </c>
      <c r="H3" s="16" t="s">
        <v>62</v>
      </c>
      <c r="I3" s="20">
        <v>26287.489999999998</v>
      </c>
    </row>
    <row r="4" spans="2:9">
      <c r="B4" s="16" t="s">
        <v>29</v>
      </c>
      <c r="C4" s="15">
        <v>493037.54999999993</v>
      </c>
      <c r="E4" s="16" t="s">
        <v>30</v>
      </c>
      <c r="F4" s="15">
        <v>112512.65999999999</v>
      </c>
      <c r="H4" s="16" t="s">
        <v>48</v>
      </c>
      <c r="I4" s="20">
        <v>11920.509999999998</v>
      </c>
    </row>
    <row r="5" spans="2:9">
      <c r="B5" s="16" t="s">
        <v>13</v>
      </c>
      <c r="C5" s="15">
        <v>337507.49999999994</v>
      </c>
      <c r="E5" s="16" t="s">
        <v>57</v>
      </c>
      <c r="F5" s="15">
        <v>120461.83000000002</v>
      </c>
      <c r="H5" s="16" t="s">
        <v>74</v>
      </c>
      <c r="I5" s="20">
        <v>11945.809999999998</v>
      </c>
    </row>
    <row r="6" spans="2:9">
      <c r="B6" s="16" t="s">
        <v>22</v>
      </c>
      <c r="C6" s="15">
        <v>400143.71000000014</v>
      </c>
      <c r="E6" s="16" t="s">
        <v>64</v>
      </c>
      <c r="F6" s="15">
        <v>120502.10999999999</v>
      </c>
      <c r="H6" s="16" t="s">
        <v>46</v>
      </c>
      <c r="I6" s="20">
        <v>20972.51</v>
      </c>
    </row>
    <row r="7" spans="2:9">
      <c r="B7" s="16" t="s">
        <v>18</v>
      </c>
      <c r="C7" s="15">
        <v>454266.96999999991</v>
      </c>
      <c r="E7" s="16" t="s">
        <v>46</v>
      </c>
      <c r="F7" s="15">
        <v>122382.21000000004</v>
      </c>
      <c r="H7" s="16" t="s">
        <v>23</v>
      </c>
      <c r="I7" s="20">
        <v>9787.61</v>
      </c>
    </row>
    <row r="8" spans="2:9">
      <c r="B8" s="16" t="s">
        <v>34</v>
      </c>
      <c r="C8" s="15">
        <v>379441.48999999993</v>
      </c>
      <c r="E8" s="16" t="s">
        <v>37</v>
      </c>
      <c r="F8" s="15">
        <v>127047.99999999999</v>
      </c>
      <c r="H8" s="16" t="s">
        <v>53</v>
      </c>
      <c r="I8" s="20">
        <v>13434.47</v>
      </c>
    </row>
    <row r="9" spans="2:9">
      <c r="B9" s="16" t="s">
        <v>430</v>
      </c>
      <c r="C9" s="15">
        <v>2575529.2599999998</v>
      </c>
      <c r="E9" s="16" t="s">
        <v>72</v>
      </c>
      <c r="F9" s="15">
        <v>128868.65</v>
      </c>
      <c r="H9" s="16" t="s">
        <v>83</v>
      </c>
      <c r="I9" s="20">
        <v>16975.199999999997</v>
      </c>
    </row>
    <row r="10" spans="2:9">
      <c r="E10" s="16" t="s">
        <v>85</v>
      </c>
      <c r="F10" s="15">
        <v>135791.86000000002</v>
      </c>
      <c r="H10" s="16" t="s">
        <v>85</v>
      </c>
      <c r="I10" s="20">
        <v>12057.29</v>
      </c>
    </row>
    <row r="11" spans="2:9">
      <c r="B11" s="12" t="s">
        <v>451</v>
      </c>
      <c r="C11" t="s">
        <v>423</v>
      </c>
      <c r="E11" s="16" t="s">
        <v>69</v>
      </c>
      <c r="F11" s="15">
        <v>163037.53</v>
      </c>
      <c r="H11" s="16" t="s">
        <v>37</v>
      </c>
      <c r="I11" s="20">
        <v>19918.39</v>
      </c>
    </row>
    <row r="12" spans="2:9">
      <c r="B12" s="16" t="s">
        <v>52</v>
      </c>
      <c r="C12" s="15">
        <v>76840.060000000012</v>
      </c>
      <c r="E12" s="16" t="s">
        <v>83</v>
      </c>
      <c r="F12" s="15">
        <v>165835.31</v>
      </c>
      <c r="H12" s="16" t="s">
        <v>94</v>
      </c>
      <c r="I12" s="20">
        <v>18889.310000000005</v>
      </c>
    </row>
    <row r="13" spans="2:9">
      <c r="B13" s="16" t="s">
        <v>29</v>
      </c>
      <c r="C13" s="15">
        <v>72945.149999999994</v>
      </c>
      <c r="E13" s="16" t="s">
        <v>430</v>
      </c>
      <c r="F13" s="15">
        <v>1307825.55</v>
      </c>
      <c r="H13" s="16" t="s">
        <v>35</v>
      </c>
      <c r="I13" s="20">
        <v>8610.6200000000026</v>
      </c>
    </row>
    <row r="14" spans="2:9">
      <c r="B14" s="16" t="s">
        <v>13</v>
      </c>
      <c r="C14" s="15">
        <v>50702.909999999996</v>
      </c>
      <c r="H14" s="16" t="s">
        <v>67</v>
      </c>
      <c r="I14" s="20">
        <v>13892.810000000001</v>
      </c>
    </row>
    <row r="15" spans="2:9">
      <c r="B15" s="16" t="s">
        <v>22</v>
      </c>
      <c r="C15" s="15">
        <v>58751.689999999981</v>
      </c>
      <c r="H15" s="16" t="s">
        <v>19</v>
      </c>
      <c r="I15" s="20">
        <v>14320.490000000002</v>
      </c>
    </row>
    <row r="16" spans="2:9">
      <c r="B16" s="16" t="s">
        <v>18</v>
      </c>
      <c r="C16" s="15">
        <v>62073.109999999986</v>
      </c>
      <c r="E16" s="12" t="s">
        <v>429</v>
      </c>
      <c r="F16" t="s">
        <v>422</v>
      </c>
      <c r="H16" s="16" t="s">
        <v>30</v>
      </c>
      <c r="I16" s="20">
        <v>21827.879999999997</v>
      </c>
    </row>
    <row r="17" spans="2:9">
      <c r="B17" s="16" t="s">
        <v>34</v>
      </c>
      <c r="C17" s="15">
        <v>46632.739999999991</v>
      </c>
      <c r="E17" s="16" t="s">
        <v>16</v>
      </c>
      <c r="F17" s="15">
        <v>742657.44999999984</v>
      </c>
      <c r="H17" s="16" t="s">
        <v>110</v>
      </c>
      <c r="I17" s="20">
        <v>6046.44</v>
      </c>
    </row>
    <row r="18" spans="2:9">
      <c r="B18" s="16" t="s">
        <v>430</v>
      </c>
      <c r="C18" s="15">
        <v>367945.66</v>
      </c>
      <c r="E18" s="16" t="s">
        <v>32</v>
      </c>
      <c r="F18" s="15">
        <v>903864.72000000032</v>
      </c>
      <c r="H18" s="16" t="s">
        <v>14</v>
      </c>
      <c r="I18" s="20">
        <v>5974.9800000000005</v>
      </c>
    </row>
    <row r="19" spans="2:9">
      <c r="E19" s="16" t="s">
        <v>27</v>
      </c>
      <c r="F19" s="15">
        <v>929007.08999999985</v>
      </c>
      <c r="H19" s="16" t="s">
        <v>64</v>
      </c>
      <c r="I19" s="20">
        <v>18598.36</v>
      </c>
    </row>
    <row r="20" spans="2:9">
      <c r="B20" s="12" t="s">
        <v>452</v>
      </c>
      <c r="C20" t="s">
        <v>423</v>
      </c>
      <c r="E20" s="16" t="s">
        <v>430</v>
      </c>
      <c r="F20" s="15">
        <v>2575529.2599999998</v>
      </c>
      <c r="H20" s="16" t="s">
        <v>39</v>
      </c>
      <c r="I20" s="20">
        <v>15041.310000000001</v>
      </c>
    </row>
    <row r="21" spans="2:9">
      <c r="B21" s="16" t="s">
        <v>433</v>
      </c>
      <c r="C21" s="15">
        <v>108860.15</v>
      </c>
      <c r="H21" s="16" t="s">
        <v>42</v>
      </c>
      <c r="I21" s="20">
        <v>10586.11</v>
      </c>
    </row>
    <row r="22" spans="2:9">
      <c r="B22" s="16" t="s">
        <v>432</v>
      </c>
      <c r="C22" s="15">
        <v>259085.50999999989</v>
      </c>
      <c r="H22" s="16" t="s">
        <v>57</v>
      </c>
      <c r="I22" s="20">
        <v>16194</v>
      </c>
    </row>
    <row r="23" spans="2:9">
      <c r="B23" s="16" t="s">
        <v>430</v>
      </c>
      <c r="C23" s="15">
        <v>367945.65999999992</v>
      </c>
      <c r="H23" s="16" t="s">
        <v>26</v>
      </c>
      <c r="I23" s="20">
        <v>15324.409999999998</v>
      </c>
    </row>
    <row r="24" spans="2:9">
      <c r="H24" s="16" t="s">
        <v>72</v>
      </c>
      <c r="I24" s="20">
        <v>14794.030000000002</v>
      </c>
    </row>
    <row r="25" spans="2:9">
      <c r="H25" s="16" t="s">
        <v>69</v>
      </c>
      <c r="I25" s="20">
        <v>22324.070000000003</v>
      </c>
    </row>
    <row r="26" spans="2:9">
      <c r="B26" s="12" t="s">
        <v>422</v>
      </c>
      <c r="C26" s="12" t="s">
        <v>449</v>
      </c>
      <c r="H26" s="16" t="s">
        <v>78</v>
      </c>
      <c r="I26" s="20">
        <v>22221.559999999998</v>
      </c>
    </row>
    <row r="27" spans="2:9">
      <c r="B27" s="12" t="s">
        <v>429</v>
      </c>
      <c r="C27" t="s">
        <v>447</v>
      </c>
      <c r="D27" t="s">
        <v>446</v>
      </c>
      <c r="E27" t="s">
        <v>448</v>
      </c>
      <c r="F27" t="s">
        <v>430</v>
      </c>
      <c r="H27" s="16" t="s">
        <v>430</v>
      </c>
      <c r="I27" s="20">
        <v>367945.66</v>
      </c>
    </row>
    <row r="28" spans="2:9">
      <c r="B28" s="19" t="s">
        <v>434</v>
      </c>
      <c r="C28" s="15"/>
      <c r="D28" s="15">
        <v>42623.17</v>
      </c>
      <c r="E28" s="15">
        <v>193392.33</v>
      </c>
      <c r="F28" s="15">
        <v>236015.5</v>
      </c>
    </row>
    <row r="29" spans="2:9">
      <c r="B29" s="19" t="s">
        <v>435</v>
      </c>
      <c r="C29" s="15"/>
      <c r="D29" s="15">
        <v>54779.270000000004</v>
      </c>
      <c r="E29" s="15">
        <v>94058.380000000019</v>
      </c>
      <c r="F29" s="15">
        <v>148837.65000000002</v>
      </c>
    </row>
    <row r="30" spans="2:9">
      <c r="B30" s="19" t="s">
        <v>436</v>
      </c>
      <c r="C30" s="15"/>
      <c r="D30" s="15">
        <v>42701.429999999993</v>
      </c>
      <c r="E30" s="15">
        <v>154242.03999999998</v>
      </c>
      <c r="F30" s="15">
        <v>196943.46999999997</v>
      </c>
    </row>
    <row r="31" spans="2:9">
      <c r="B31" s="19" t="s">
        <v>437</v>
      </c>
      <c r="C31" s="15"/>
      <c r="D31" s="15">
        <v>62633.53</v>
      </c>
      <c r="E31" s="15">
        <v>115810.38999999998</v>
      </c>
      <c r="F31" s="15">
        <v>178443.91999999998</v>
      </c>
      <c r="H31" s="12" t="s">
        <v>453</v>
      </c>
      <c r="I31" t="s">
        <v>422</v>
      </c>
    </row>
    <row r="32" spans="2:9">
      <c r="B32" s="19" t="s">
        <v>438</v>
      </c>
      <c r="C32" s="15"/>
      <c r="D32" s="15">
        <v>17272.579999999998</v>
      </c>
      <c r="E32" s="15">
        <v>211641.54</v>
      </c>
      <c r="F32" s="15">
        <v>228914.12</v>
      </c>
      <c r="H32" s="16" t="s">
        <v>24</v>
      </c>
      <c r="I32" s="15">
        <v>478558.2900000001</v>
      </c>
    </row>
    <row r="33" spans="2:9">
      <c r="B33" s="19" t="s">
        <v>439</v>
      </c>
      <c r="C33" s="15"/>
      <c r="D33" s="15">
        <v>48975.930000000008</v>
      </c>
      <c r="E33" s="15">
        <v>126217.33999999998</v>
      </c>
      <c r="F33" s="15">
        <v>175193.27</v>
      </c>
      <c r="H33" s="16" t="s">
        <v>20</v>
      </c>
      <c r="I33" s="15">
        <v>559517.35000000009</v>
      </c>
    </row>
    <row r="34" spans="2:9">
      <c r="B34" s="19" t="s">
        <v>440</v>
      </c>
      <c r="C34" s="15">
        <v>42459.369999999995</v>
      </c>
      <c r="D34" s="15">
        <v>77455.070000000007</v>
      </c>
      <c r="E34" s="15">
        <v>145247.41</v>
      </c>
      <c r="F34" s="15">
        <v>265161.84999999998</v>
      </c>
      <c r="H34" s="16" t="s">
        <v>43</v>
      </c>
      <c r="I34" s="15">
        <v>352429.36999999994</v>
      </c>
    </row>
    <row r="35" spans="2:9">
      <c r="B35" s="19" t="s">
        <v>441</v>
      </c>
      <c r="C35" s="15">
        <v>67401.48000000001</v>
      </c>
      <c r="D35" s="15">
        <v>251417.95999999996</v>
      </c>
      <c r="E35" s="15"/>
      <c r="F35" s="15">
        <v>318819.43999999994</v>
      </c>
      <c r="H35" s="16" t="s">
        <v>31</v>
      </c>
      <c r="I35" s="15">
        <v>500559.52999999997</v>
      </c>
    </row>
    <row r="36" spans="2:9">
      <c r="B36" s="19" t="s">
        <v>442</v>
      </c>
      <c r="C36" s="15">
        <v>38942.840000000004</v>
      </c>
      <c r="D36" s="15">
        <v>119363.87</v>
      </c>
      <c r="E36" s="15"/>
      <c r="F36" s="15">
        <v>158306.71</v>
      </c>
      <c r="H36" s="16" t="s">
        <v>15</v>
      </c>
      <c r="I36" s="15">
        <v>399840.33</v>
      </c>
    </row>
    <row r="37" spans="2:9">
      <c r="B37" s="19" t="s">
        <v>443</v>
      </c>
      <c r="C37" s="15">
        <v>45082.42</v>
      </c>
      <c r="D37" s="15">
        <v>164769.90999999997</v>
      </c>
      <c r="E37" s="15"/>
      <c r="F37" s="15">
        <v>209852.32999999996</v>
      </c>
      <c r="H37" s="16" t="s">
        <v>40</v>
      </c>
      <c r="I37" s="15">
        <v>284624.3899999999</v>
      </c>
    </row>
    <row r="38" spans="2:9">
      <c r="B38" s="19" t="s">
        <v>444</v>
      </c>
      <c r="C38" s="15">
        <v>46199.41</v>
      </c>
      <c r="D38" s="15">
        <v>186128.69</v>
      </c>
      <c r="E38" s="15"/>
      <c r="F38" s="15">
        <v>232328.1</v>
      </c>
      <c r="H38" s="16" t="s">
        <v>430</v>
      </c>
      <c r="I38" s="15">
        <v>2575529.2599999998</v>
      </c>
    </row>
    <row r="39" spans="2:9">
      <c r="B39" s="19" t="s">
        <v>445</v>
      </c>
      <c r="C39" s="15">
        <v>90321.209999999992</v>
      </c>
      <c r="D39" s="15">
        <v>136391.69</v>
      </c>
      <c r="E39" s="15"/>
      <c r="F39" s="15">
        <v>226712.9</v>
      </c>
    </row>
    <row r="40" spans="2:9">
      <c r="B40" s="19" t="s">
        <v>430</v>
      </c>
      <c r="C40" s="15">
        <v>330406.73</v>
      </c>
      <c r="D40" s="15">
        <v>1204513.0999999999</v>
      </c>
      <c r="E40" s="15">
        <v>1040609.43</v>
      </c>
      <c r="F40" s="15">
        <v>2575529.2599999998</v>
      </c>
    </row>
  </sheetData>
  <pageMargins left="0.7" right="0.7" top="0.75" bottom="0.75" header="0.3" footer="0.3"/>
  <pageSetup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>
  <dimension ref="C1:T11"/>
  <sheetViews>
    <sheetView showGridLines="0" tabSelected="1" zoomScale="68" zoomScaleNormal="68" workbookViewId="0"/>
  </sheetViews>
  <sheetFormatPr defaultRowHeight="14.4"/>
  <cols>
    <col min="1" max="1" width="16.109375" style="23" bestFit="1" customWidth="1"/>
    <col min="2" max="2" width="7" style="23" customWidth="1"/>
    <col min="3" max="20" width="8.88671875" style="23"/>
    <col min="21" max="21" width="13.44140625" style="23" bestFit="1" customWidth="1"/>
    <col min="22" max="22" width="20.77734375" style="23" bestFit="1" customWidth="1"/>
    <col min="23" max="28" width="8.88671875" style="23"/>
    <col min="29" max="29" width="24.5546875" style="23" customWidth="1"/>
    <col min="30" max="30" width="7.6640625" style="23" customWidth="1"/>
    <col min="31" max="16384" width="8.88671875" style="23"/>
  </cols>
  <sheetData>
    <row r="1" spans="3:20" ht="45.6" customHeight="1"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11" spans="3:20">
      <c r="R11" s="2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Snitch_Fashion_Sales_Cleaned</vt:lpstr>
      <vt:lpstr>KPI_Calc</vt:lpstr>
      <vt:lpstr>Pivots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</dc:creator>
  <cp:lastModifiedBy>HP</cp:lastModifiedBy>
  <dcterms:created xsi:type="dcterms:W3CDTF">2026-01-15T15:28:18Z</dcterms:created>
  <dcterms:modified xsi:type="dcterms:W3CDTF">2026-01-21T11:16:20Z</dcterms:modified>
</cp:coreProperties>
</file>